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計画入力" sheetId="1" r:id="rId1"/>
    <sheet name="前年実績" sheetId="2" r:id="rId2"/>
    <sheet name="計画確認" sheetId="3" r:id="rId3"/>
  </sheets>
  <definedNames>
    <definedName name="_xlnm.Print_Area" localSheetId="1">前年実績!$A$1:$N$47</definedName>
    <definedName name="_xlnm.Print_Area" localSheetId="0">計画入力!$A$1:$N$49</definedName>
    <definedName name="_xlnm.Print_Area" localSheetId="2">計画確認!$A$1:$N$36</definedName>
  </definedNames>
  <calcPr calcId="124519" fullCalcOnLoad="1"/>
</workbook>
</file>

<file path=xl/sharedStrings.xml><?xml version="1.0" encoding="utf-8"?>
<sst xmlns="http://schemas.openxmlformats.org/spreadsheetml/2006/main" count="285" uniqueCount="76">
  <si>
    <t>入雛羽数（羽）　［入力］</t>
  </si>
  <si>
    <t>品種区分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</si>
  <si>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</si>
  <si>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</si>
  <si>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</si>
  <si>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</si>
  <si>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</si>
  <si>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</si>
  <si>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</si>
  <si>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</si>
  <si>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</si>
  <si>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</si>
  <si>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</si>
  <si>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</si>
  <si>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年計</t>
  </si>
  <si>
    <t>阿波尾鶏</t>
  </si>
  <si>
    <t>赤どり</t>
  </si>
  <si>
    <t>地養鳥</t>
  </si>
  <si>
    <t>ブロイラー（貞光分）</t>
  </si>
  <si>
    <t>ブロイラー(外部購入)</t>
  </si>
  <si>
    <t>合計</t>
  </si>
  <si>
    <t>処理羽数（羽）　［自動計算］</t>
  </si>
  <si>
    <t>処理重量（kg）　［自動計算］</t>
  </si>
  <si>
    <t>育成率　［入力］</t>
  </si>
  <si>
    <t>年間値</t>
  </si>
  <si>
    <t>全体値（加重）</t>
  </si>
  <si>
    <t>平均体重（kg／羽）　［入力］</t>
  </si>
  <si>
    <t>入雛羽数</t>
  </si>
  <si>
    <t>出荷羽数</t>
  </si>
  <si>
    <t>出荷重量</t>
  </si>
  <si>
    <t>育成率</t>
  </si>
  <si>
    <t>平均体重</t>
  </si>
  <si>
    <t>対象年：2027年。育成率は98%または0.98で入力。重量はkg、平均体重はkg／羽。</t>
  </si>
  <si>
    <t>出荷羽数・出荷重量は、この計画では廃棄控除後の羽数・重量を指します。</t>
  </si>
  <si>
    <t>入力：入雛羽数・育成率・平均体重。出荷羽数・重量・合計欄は自動計算です。</t>
  </si>
  <si>
    <t>入雛羽数（羽）　［参考実績］</t>
  </si>
  <si>
    <t>1～7月累計</t>
  </si>
  <si>
    <t>処理羽数（羽）　［参考実績］</t>
  </si>
  <si>
    <t>処理重量（kg）　［参考実績］</t>
  </si>
  <si>
    <t>育成率　［参考実績］</t>
  </si>
  <si>
    <t>1～7月通期率</t>
  </si>
  <si>
    <t>平均体重（kg／羽）　［参考実績］</t>
  </si>
  <si>
    <t>1～7月通期体重</t>
  </si>
  <si>
    <t>入雛羽数（羽）</t>
  </si>
  <si>
    <t>処理羽数（羽）</t>
  </si>
  <si>
    <t>処理重量（kg）</t>
  </si>
  <si>
    <t>平均体重（kg／羽）</t>
  </si>
  <si>
    <t>2026年実績。収録期間は1～7月、8～12月は未収録。右端は1～7月の累計／通期値です。</t>
  </si>
  <si>
    <t>2027年　計画確認</t>
  </si>
  <si>
    <t>入力チェック・年間計画・前年同期間との比較</t>
  </si>
  <si>
    <t>計画原本の入力状況を確認します。入力欄はありません。年間値は12か月分の入力がそろうと表示します。</t>
  </si>
  <si>
    <t>前年比較は前年実績がある1～7月に期間をそろえます。2027年の実績や実績対比表は、このブックには含みません。</t>
  </si>
  <si>
    <t>1　入力チェック（1品種36セル・全体180セル）</t>
  </si>
  <si>
    <t>入力済み</t>
  </si>
  <si>
    <t>未入力</t>
  </si>
  <si>
    <t>状態</t>
  </si>
  <si>
    <t>全体</t>
  </si>
  <si>
    <t>2　年間計画の確認（入力がそろうまで空欄）</t>
  </si>
  <si>
    <t>処理羽数</t>
  </si>
  <si>
    <t>処理重量kg</t>
  </si>
  <si>
    <t>平均体重kg</t>
  </si>
  <si>
    <t>3　前年実績との同期間比較（1～7月・差引＝計画－前年実績）</t>
  </si>
  <si>
    <t>計画入雛
1～7月</t>
  </si>
  <si>
    <t>前年入雛
1～7月</t>
  </si>
  <si>
    <t>差引（羽）</t>
  </si>
  <si>
    <t>増減率</t>
  </si>
  <si>
    <t>計画処理
1～7月</t>
  </si>
  <si>
    <t>前年処理
1～7月</t>
  </si>
  <si>
    <t>計画重量kg
1～7月</t>
  </si>
  <si>
    <t>前年重量kg
1～7月</t>
  </si>
  <si>
    <t>差引（kg）</t>
  </si>
  <si>
    <t>確認状態</t>
  </si>
  <si>
    <t>使い方：①計画入力の黄色セルを入力　②未入力数を確認　③年間計画と前年同期間との差を確認　④別名で保管。</t>
  </si>
  <si>
    <t>このExcelは計画入力用です。TSVの自動生成・実績対比表の作成プログラムやマクロは含みません。</t>
  </si>
  <si>
    <t>体重・育成率の全体値は単純平均ではありません。計画と実績の対象期間・単位をそろえて比較してください。</t>
  </si>
  <si>
    <t>使い方：①計画入力の3表を入力　②未入力数を確認　③年間計画と前年同期間との差を確認。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</si>
</sst>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49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5"/>
  <cols>
    <col min="1" max="1" width="28.7109375" customWidth="1"/>
    <col min="2" max="13" width="12.7109375" customWidth="1"/>
    <col min="14" max="14" width="16.7109375" customWidth="1"/>
  </cols>
  <sheetData>
    <row r="1" spans="1:14">
      <c r="A1" t="s">
        <v>27</v>
      </c>
    </row>
    <row r="2" spans="1:14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</row>
    <row r="3" spans="1:14">
      <c r="A3" t="s">
        <v>15</v>
      </c>
      <c r="N3">
        <f>IF(COUNT(B3:M3)&lt;12,"",SUM(B3:M3))</f>
        <v/>
      </c>
    </row>
    <row r="4" spans="1:14">
      <c r="A4" t="s">
        <v>16</v>
      </c>
      <c r="N4">
        <f>IF(COUNT(B4:M4)&lt;12,"",SUM(B4:M4))</f>
        <v/>
      </c>
    </row>
    <row r="5" spans="1:14">
      <c r="A5" t="s">
        <v>17</v>
      </c>
      <c r="N5">
        <f>IF(COUNT(B5:M5)&lt;12,"",SUM(B5:M5))</f>
        <v/>
      </c>
    </row>
    <row r="6" spans="1:14">
      <c r="A6" t="s">
        <v>18</v>
      </c>
      <c r="N6">
        <f>IF(COUNT(B6:M6)&lt;12,"",SUM(B6:M6))</f>
        <v/>
      </c>
    </row>
    <row r="7" spans="1:14">
      <c r="A7" t="s">
        <v>19</v>
      </c>
      <c r="N7">
        <f>IF(COUNT(B7:M7)&lt;12,"",SUM(B7:M7))</f>
        <v/>
      </c>
    </row>
    <row r="8" spans="1:14">
      <c r="A8" t="s">
        <v>20</v>
      </c>
      <c r="B8">
        <f>IF(COUNT(B3:B7)&lt;5,"",SUM(B3:B7))</f>
        <v/>
      </c>
      <c r="C8">
        <f>IF(COUNT(C3:C7)&lt;5,"",SUM(C3:C7))</f>
        <v/>
      </c>
      <c r="D8">
        <f>IF(COUNT(D3:D7)&lt;5,"",SUM(D3:D7))</f>
        <v/>
      </c>
      <c r="E8">
        <f>IF(COUNT(E3:E7)&lt;5,"",SUM(E3:E7))</f>
        <v/>
      </c>
      <c r="F8">
        <f>IF(COUNT(F3:F7)&lt;5,"",SUM(F3:F7))</f>
        <v/>
      </c>
      <c r="G8">
        <f>IF(COUNT(G3:G7)&lt;5,"",SUM(G3:G7))</f>
        <v/>
      </c>
      <c r="H8">
        <f>IF(COUNT(H3:H7)&lt;5,"",SUM(H3:H7))</f>
        <v/>
      </c>
      <c r="I8">
        <f>IF(COUNT(I3:I7)&lt;5,"",SUM(I3:I7))</f>
        <v/>
      </c>
      <c r="J8">
        <f>IF(COUNT(J3:J7)&lt;5,"",SUM(J3:J7))</f>
        <v/>
      </c>
      <c r="K8">
        <f>IF(COUNT(K3:K7)&lt;5,"",SUM(K3:K7))</f>
        <v/>
      </c>
      <c r="L8">
        <f>IF(COUNT(L3:L7)&lt;5,"",SUM(L3:L7))</f>
        <v/>
      </c>
      <c r="M8">
        <f>IF(COUNT(M3:M7)&lt;5,"",SUM(M3:M7))</f>
        <v/>
      </c>
      <c r="N8">
        <f>IF(COUNT(N3:N7)&lt;5,"",SUM(N3:N7))</f>
        <v/>
      </c>
    </row>
    <row r="10" spans="1:14">
      <c r="A10" t="s">
        <v>28</v>
      </c>
    </row>
    <row r="11" spans="1:14">
      <c r="A11" t="s">
        <v>1</v>
      </c>
      <c r="B11" t="s">
        <v>2</v>
      </c>
      <c r="C11" t="s">
        <v>3</v>
      </c>
      <c r="D11" t="s">
        <v>4</v>
      </c>
      <c r="E11" t="s">
        <v>5</v>
      </c>
      <c r="F11" t="s">
        <v>6</v>
      </c>
      <c r="G11" t="s">
        <v>7</v>
      </c>
      <c r="H11" t="s">
        <v>8</v>
      </c>
      <c r="I11" t="s">
        <v>9</v>
      </c>
      <c r="J11" t="s">
        <v>10</v>
      </c>
      <c r="K11" t="s">
        <v>11</v>
      </c>
      <c r="L11" t="s">
        <v>12</v>
      </c>
      <c r="M11" t="s">
        <v>13</v>
      </c>
      <c r="N11" t="s">
        <v>14</v>
      </c>
    </row>
    <row r="12" spans="1:14">
      <c r="A12" t="s">
        <v>15</v>
      </c>
      <c r="B12">
        <f>IF(COUNT(B3,B30)&lt;2,"",ROUND(B3*B30,0))</f>
        <v/>
      </c>
      <c r="C12">
        <f>IF(COUNT(C3,C30)&lt;2,"",ROUND(C3*C30,0))</f>
        <v/>
      </c>
      <c r="D12">
        <f>IF(COUNT(D3,D30)&lt;2,"",ROUND(D3*D30,0))</f>
        <v/>
      </c>
      <c r="E12">
        <f>IF(COUNT(E3,E30)&lt;2,"",ROUND(E3*E30,0))</f>
        <v/>
      </c>
      <c r="F12">
        <f>IF(COUNT(F3,F30)&lt;2,"",ROUND(F3*F30,0))</f>
        <v/>
      </c>
      <c r="G12">
        <f>IF(COUNT(G3,G30)&lt;2,"",ROUND(G3*G30,0))</f>
        <v/>
      </c>
      <c r="H12">
        <f>IF(COUNT(H3,H30)&lt;2,"",ROUND(H3*H30,0))</f>
        <v/>
      </c>
      <c r="I12">
        <f>IF(COUNT(I3,I30)&lt;2,"",ROUND(I3*I30,0))</f>
        <v/>
      </c>
      <c r="J12">
        <f>IF(COUNT(J3,J30)&lt;2,"",ROUND(J3*J30,0))</f>
        <v/>
      </c>
      <c r="K12">
        <f>IF(COUNT(K3,K30)&lt;2,"",ROUND(K3*K30,0))</f>
        <v/>
      </c>
      <c r="L12">
        <f>IF(COUNT(L3,L30)&lt;2,"",ROUND(L3*L30,0))</f>
        <v/>
      </c>
      <c r="M12">
        <f>IF(COUNT(M3,M30)&lt;2,"",ROUND(M3*M30,0))</f>
        <v/>
      </c>
      <c r="N12">
        <f>IF(COUNT(B12:M12)&lt;12,"",SUM(B12:M12))</f>
        <v/>
      </c>
    </row>
    <row r="13" spans="1:14">
      <c r="A13" t="s">
        <v>16</v>
      </c>
      <c r="B13">
        <f>IF(COUNT(B4,B31)&lt;2,"",ROUND(B4*B31,0))</f>
        <v/>
      </c>
      <c r="C13">
        <f>IF(COUNT(C4,C31)&lt;2,"",ROUND(C4*C31,0))</f>
        <v/>
      </c>
      <c r="D13">
        <f>IF(COUNT(D4,D31)&lt;2,"",ROUND(D4*D31,0))</f>
        <v/>
      </c>
      <c r="E13">
        <f>IF(COUNT(E4,E31)&lt;2,"",ROUND(E4*E31,0))</f>
        <v/>
      </c>
      <c r="F13">
        <f>IF(COUNT(F4,F31)&lt;2,"",ROUND(F4*F31,0))</f>
        <v/>
      </c>
      <c r="G13">
        <f>IF(COUNT(G4,G31)&lt;2,"",ROUND(G4*G31,0))</f>
        <v/>
      </c>
      <c r="H13">
        <f>IF(COUNT(H4,H31)&lt;2,"",ROUND(H4*H31,0))</f>
        <v/>
      </c>
      <c r="I13">
        <f>IF(COUNT(I4,I31)&lt;2,"",ROUND(I4*I31,0))</f>
        <v/>
      </c>
      <c r="J13">
        <f>IF(COUNT(J4,J31)&lt;2,"",ROUND(J4*J31,0))</f>
        <v/>
      </c>
      <c r="K13">
        <f>IF(COUNT(K4,K31)&lt;2,"",ROUND(K4*K31,0))</f>
        <v/>
      </c>
      <c r="L13">
        <f>IF(COUNT(L4,L31)&lt;2,"",ROUND(L4*L31,0))</f>
        <v/>
      </c>
      <c r="M13">
        <f>IF(COUNT(M4,M31)&lt;2,"",ROUND(M4*M31,0))</f>
        <v/>
      </c>
      <c r="N13">
        <f>IF(COUNT(B13:M13)&lt;12,"",SUM(B13:M13))</f>
        <v/>
      </c>
    </row>
    <row r="14" spans="1:14">
      <c r="A14" t="s">
        <v>17</v>
      </c>
      <c r="B14">
        <f>IF(COUNT(B5,B32)&lt;2,"",ROUND(B5*B32,0))</f>
        <v/>
      </c>
      <c r="C14">
        <f>IF(COUNT(C5,C32)&lt;2,"",ROUND(C5*C32,0))</f>
        <v/>
      </c>
      <c r="D14">
        <f>IF(COUNT(D5,D32)&lt;2,"",ROUND(D5*D32,0))</f>
        <v/>
      </c>
      <c r="E14">
        <f>IF(COUNT(E5,E32)&lt;2,"",ROUND(E5*E32,0))</f>
        <v/>
      </c>
      <c r="F14">
        <f>IF(COUNT(F5,F32)&lt;2,"",ROUND(F5*F32,0))</f>
        <v/>
      </c>
      <c r="G14">
        <f>IF(COUNT(G5,G32)&lt;2,"",ROUND(G5*G32,0))</f>
        <v/>
      </c>
      <c r="H14">
        <f>IF(COUNT(H5,H32)&lt;2,"",ROUND(H5*H32,0))</f>
        <v/>
      </c>
      <c r="I14">
        <f>IF(COUNT(I5,I32)&lt;2,"",ROUND(I5*I32,0))</f>
        <v/>
      </c>
      <c r="J14">
        <f>IF(COUNT(J5,J32)&lt;2,"",ROUND(J5*J32,0))</f>
        <v/>
      </c>
      <c r="K14">
        <f>IF(COUNT(K5,K32)&lt;2,"",ROUND(K5*K32,0))</f>
        <v/>
      </c>
      <c r="L14">
        <f>IF(COUNT(L5,L32)&lt;2,"",ROUND(L5*L32,0))</f>
        <v/>
      </c>
      <c r="M14">
        <f>IF(COUNT(M5,M32)&lt;2,"",ROUND(M5*M32,0))</f>
        <v/>
      </c>
      <c r="N14">
        <f>IF(COUNT(B14:M14)&lt;12,"",SUM(B14:M14))</f>
        <v/>
      </c>
    </row>
    <row r="15" spans="1:14">
      <c r="A15" t="s">
        <v>18</v>
      </c>
      <c r="B15">
        <f>IF(COUNT(B6,B33)&lt;2,"",ROUND(B6*B33,0))</f>
        <v/>
      </c>
      <c r="C15">
        <f>IF(COUNT(C6,C33)&lt;2,"",ROUND(C6*C33,0))</f>
        <v/>
      </c>
      <c r="D15">
        <f>IF(COUNT(D6,D33)&lt;2,"",ROUND(D6*D33,0))</f>
        <v/>
      </c>
      <c r="E15">
        <f>IF(COUNT(E6,E33)&lt;2,"",ROUND(E6*E33,0))</f>
        <v/>
      </c>
      <c r="F15">
        <f>IF(COUNT(F6,F33)&lt;2,"",ROUND(F6*F33,0))</f>
        <v/>
      </c>
      <c r="G15">
        <f>IF(COUNT(G6,G33)&lt;2,"",ROUND(G6*G33,0))</f>
        <v/>
      </c>
      <c r="H15">
        <f>IF(COUNT(H6,H33)&lt;2,"",ROUND(H6*H33,0))</f>
        <v/>
      </c>
      <c r="I15">
        <f>IF(COUNT(I6,I33)&lt;2,"",ROUND(I6*I33,0))</f>
        <v/>
      </c>
      <c r="J15">
        <f>IF(COUNT(J6,J33)&lt;2,"",ROUND(J6*J33,0))</f>
        <v/>
      </c>
      <c r="K15">
        <f>IF(COUNT(K6,K33)&lt;2,"",ROUND(K6*K33,0))</f>
        <v/>
      </c>
      <c r="L15">
        <f>IF(COUNT(L6,L33)&lt;2,"",ROUND(L6*L33,0))</f>
        <v/>
      </c>
      <c r="M15">
        <f>IF(COUNT(M6,M33)&lt;2,"",ROUND(M6*M33,0))</f>
        <v/>
      </c>
      <c r="N15">
        <f>IF(COUNT(B15:M15)&lt;12,"",SUM(B15:M15))</f>
        <v/>
      </c>
    </row>
    <row r="16" spans="1:14">
      <c r="A16" t="s">
        <v>19</v>
      </c>
      <c r="B16">
        <f>IF(COUNT(B7,B34)&lt;2,"",ROUND(B7*B34,0))</f>
        <v/>
      </c>
      <c r="C16">
        <f>IF(COUNT(C7,C34)&lt;2,"",ROUND(C7*C34,0))</f>
        <v/>
      </c>
      <c r="D16">
        <f>IF(COUNT(D7,D34)&lt;2,"",ROUND(D7*D34,0))</f>
        <v/>
      </c>
      <c r="E16">
        <f>IF(COUNT(E7,E34)&lt;2,"",ROUND(E7*E34,0))</f>
        <v/>
      </c>
      <c r="F16">
        <f>IF(COUNT(F7,F34)&lt;2,"",ROUND(F7*F34,0))</f>
        <v/>
      </c>
      <c r="G16">
        <f>IF(COUNT(G7,G34)&lt;2,"",ROUND(G7*G34,0))</f>
        <v/>
      </c>
      <c r="H16">
        <f>IF(COUNT(H7,H34)&lt;2,"",ROUND(H7*H34,0))</f>
        <v/>
      </c>
      <c r="I16">
        <f>IF(COUNT(I7,I34)&lt;2,"",ROUND(I7*I34,0))</f>
        <v/>
      </c>
      <c r="J16">
        <f>IF(COUNT(J7,J34)&lt;2,"",ROUND(J7*J34,0))</f>
        <v/>
      </c>
      <c r="K16">
        <f>IF(COUNT(K7,K34)&lt;2,"",ROUND(K7*K34,0))</f>
        <v/>
      </c>
      <c r="L16">
        <f>IF(COUNT(L7,L34)&lt;2,"",ROUND(L7*L34,0))</f>
        <v/>
      </c>
      <c r="M16">
        <f>IF(COUNT(M7,M34)&lt;2,"",ROUND(M7*M34,0))</f>
        <v/>
      </c>
      <c r="N16">
        <f>IF(COUNT(B16:M16)&lt;12,"",SUM(B16:M16))</f>
        <v/>
      </c>
    </row>
    <row r="17" spans="1:14">
      <c r="A17" t="s">
        <v>20</v>
      </c>
      <c r="B17">
        <f>IF(COUNT(B12:B16)&lt;5,"",SUM(B12:B16))</f>
        <v/>
      </c>
      <c r="C17">
        <f>IF(COUNT(C12:C16)&lt;5,"",SUM(C12:C16))</f>
        <v/>
      </c>
      <c r="D17">
        <f>IF(COUNT(D12:D16)&lt;5,"",SUM(D12:D16))</f>
        <v/>
      </c>
      <c r="E17">
        <f>IF(COUNT(E12:E16)&lt;5,"",SUM(E12:E16))</f>
        <v/>
      </c>
      <c r="F17">
        <f>IF(COUNT(F12:F16)&lt;5,"",SUM(F12:F16))</f>
        <v/>
      </c>
      <c r="G17">
        <f>IF(COUNT(G12:G16)&lt;5,"",SUM(G12:G16))</f>
        <v/>
      </c>
      <c r="H17">
        <f>IF(COUNT(H12:H16)&lt;5,"",SUM(H12:H16))</f>
        <v/>
      </c>
      <c r="I17">
        <f>IF(COUNT(I12:I16)&lt;5,"",SUM(I12:I16))</f>
        <v/>
      </c>
      <c r="J17">
        <f>IF(COUNT(J12:J16)&lt;5,"",SUM(J12:J16))</f>
        <v/>
      </c>
      <c r="K17">
        <f>IF(COUNT(K12:K16)&lt;5,"",SUM(K12:K16))</f>
        <v/>
      </c>
      <c r="L17">
        <f>IF(COUNT(L12:L16)&lt;5,"",SUM(L12:L16))</f>
        <v/>
      </c>
      <c r="M17">
        <f>IF(COUNT(M12:M16)&lt;5,"",SUM(M12:M16))</f>
        <v/>
      </c>
      <c r="N17">
        <f>IF(COUNT(N12:N16)&lt;5,"",SUM(N12:N16))</f>
        <v/>
      </c>
    </row>
    <row r="19" spans="1:14">
      <c r="A19" t="s">
        <v>29</v>
      </c>
    </row>
    <row r="20" spans="1:14">
      <c r="A20" t="s">
        <v>1</v>
      </c>
      <c r="B20" t="s">
        <v>2</v>
      </c>
      <c r="C20" t="s">
        <v>3</v>
      </c>
      <c r="D20" t="s">
        <v>4</v>
      </c>
      <c r="E20" t="s">
        <v>5</v>
      </c>
      <c r="F20" t="s">
        <v>6</v>
      </c>
      <c r="G20" t="s">
        <v>7</v>
      </c>
      <c r="H20" t="s">
        <v>8</v>
      </c>
      <c r="I20" t="s">
        <v>9</v>
      </c>
      <c r="J20" t="s">
        <v>10</v>
      </c>
      <c r="K20" t="s">
        <v>11</v>
      </c>
      <c r="L20" t="s">
        <v>12</v>
      </c>
      <c r="M20" t="s">
        <v>13</v>
      </c>
      <c r="N20" t="s">
        <v>14</v>
      </c>
    </row>
    <row r="21" spans="1:14">
      <c r="A21" t="s">
        <v>15</v>
      </c>
      <c r="B21">
        <f>IF(COUNT(B12,B39)&lt;2,"",ROUND(B12*B39,1))</f>
        <v/>
      </c>
      <c r="C21">
        <f>IF(COUNT(C12,C39)&lt;2,"",ROUND(C12*C39,1))</f>
        <v/>
      </c>
      <c r="D21">
        <f>IF(COUNT(D12,D39)&lt;2,"",ROUND(D12*D39,1))</f>
        <v/>
      </c>
      <c r="E21">
        <f>IF(COUNT(E12,E39)&lt;2,"",ROUND(E12*E39,1))</f>
        <v/>
      </c>
      <c r="F21">
        <f>IF(COUNT(F12,F39)&lt;2,"",ROUND(F12*F39,1))</f>
        <v/>
      </c>
      <c r="G21">
        <f>IF(COUNT(G12,G39)&lt;2,"",ROUND(G12*G39,1))</f>
        <v/>
      </c>
      <c r="H21">
        <f>IF(COUNT(H12,H39)&lt;2,"",ROUND(H12*H39,1))</f>
        <v/>
      </c>
      <c r="I21">
        <f>IF(COUNT(I12,I39)&lt;2,"",ROUND(I12*I39,1))</f>
        <v/>
      </c>
      <c r="J21">
        <f>IF(COUNT(J12,J39)&lt;2,"",ROUND(J12*J39,1))</f>
        <v/>
      </c>
      <c r="K21">
        <f>IF(COUNT(K12,K39)&lt;2,"",ROUND(K12*K39,1))</f>
        <v/>
      </c>
      <c r="L21">
        <f>IF(COUNT(L12,L39)&lt;2,"",ROUND(L12*L39,1))</f>
        <v/>
      </c>
      <c r="M21">
        <f>IF(COUNT(M12,M39)&lt;2,"",ROUND(M12*M39,1))</f>
        <v/>
      </c>
      <c r="N21">
        <f>IF(COUNT(B21:M21)&lt;12,"",SUM(B21:M21))</f>
        <v/>
      </c>
    </row>
    <row r="22" spans="1:14">
      <c r="A22" t="s">
        <v>16</v>
      </c>
      <c r="B22">
        <f>IF(COUNT(B13,B40)&lt;2,"",ROUND(B13*B40,1))</f>
        <v/>
      </c>
      <c r="C22">
        <f>IF(COUNT(C13,C40)&lt;2,"",ROUND(C13*C40,1))</f>
        <v/>
      </c>
      <c r="D22">
        <f>IF(COUNT(D13,D40)&lt;2,"",ROUND(D13*D40,1))</f>
        <v/>
      </c>
      <c r="E22">
        <f>IF(COUNT(E13,E40)&lt;2,"",ROUND(E13*E40,1))</f>
        <v/>
      </c>
      <c r="F22">
        <f>IF(COUNT(F13,F40)&lt;2,"",ROUND(F13*F40,1))</f>
        <v/>
      </c>
      <c r="G22">
        <f>IF(COUNT(G13,G40)&lt;2,"",ROUND(G13*G40,1))</f>
        <v/>
      </c>
      <c r="H22">
        <f>IF(COUNT(H13,H40)&lt;2,"",ROUND(H13*H40,1))</f>
        <v/>
      </c>
      <c r="I22">
        <f>IF(COUNT(I13,I40)&lt;2,"",ROUND(I13*I40,1))</f>
        <v/>
      </c>
      <c r="J22">
        <f>IF(COUNT(J13,J40)&lt;2,"",ROUND(J13*J40,1))</f>
        <v/>
      </c>
      <c r="K22">
        <f>IF(COUNT(K13,K40)&lt;2,"",ROUND(K13*K40,1))</f>
        <v/>
      </c>
      <c r="L22">
        <f>IF(COUNT(L13,L40)&lt;2,"",ROUND(L13*L40,1))</f>
        <v/>
      </c>
      <c r="M22">
        <f>IF(COUNT(M13,M40)&lt;2,"",ROUND(M13*M40,1))</f>
        <v/>
      </c>
      <c r="N22">
        <f>IF(COUNT(B22:M22)&lt;12,"",SUM(B22:M22))</f>
        <v/>
      </c>
    </row>
    <row r="23" spans="1:14">
      <c r="A23" t="s">
        <v>17</v>
      </c>
      <c r="B23">
        <f>IF(COUNT(B14,B41)&lt;2,"",ROUND(B14*B41,1))</f>
        <v/>
      </c>
      <c r="C23">
        <f>IF(COUNT(C14,C41)&lt;2,"",ROUND(C14*C41,1))</f>
        <v/>
      </c>
      <c r="D23">
        <f>IF(COUNT(D14,D41)&lt;2,"",ROUND(D14*D41,1))</f>
        <v/>
      </c>
      <c r="E23">
        <f>IF(COUNT(E14,E41)&lt;2,"",ROUND(E14*E41,1))</f>
        <v/>
      </c>
      <c r="F23">
        <f>IF(COUNT(F14,F41)&lt;2,"",ROUND(F14*F41,1))</f>
        <v/>
      </c>
      <c r="G23">
        <f>IF(COUNT(G14,G41)&lt;2,"",ROUND(G14*G41,1))</f>
        <v/>
      </c>
      <c r="H23">
        <f>IF(COUNT(H14,H41)&lt;2,"",ROUND(H14*H41,1))</f>
        <v/>
      </c>
      <c r="I23">
        <f>IF(COUNT(I14,I41)&lt;2,"",ROUND(I14*I41,1))</f>
        <v/>
      </c>
      <c r="J23">
        <f>IF(COUNT(J14,J41)&lt;2,"",ROUND(J14*J41,1))</f>
        <v/>
      </c>
      <c r="K23">
        <f>IF(COUNT(K14,K41)&lt;2,"",ROUND(K14*K41,1))</f>
        <v/>
      </c>
      <c r="L23">
        <f>IF(COUNT(L14,L41)&lt;2,"",ROUND(L14*L41,1))</f>
        <v/>
      </c>
      <c r="M23">
        <f>IF(COUNT(M14,M41)&lt;2,"",ROUND(M14*M41,1))</f>
        <v/>
      </c>
      <c r="N23">
        <f>IF(COUNT(B23:M23)&lt;12,"",SUM(B23:M23))</f>
        <v/>
      </c>
    </row>
    <row r="24" spans="1:14">
      <c r="A24" t="s">
        <v>18</v>
      </c>
      <c r="B24">
        <f>IF(COUNT(B15,B42)&lt;2,"",ROUND(B15*B42,1))</f>
        <v/>
      </c>
      <c r="C24">
        <f>IF(COUNT(C15,C42)&lt;2,"",ROUND(C15*C42,1))</f>
        <v/>
      </c>
      <c r="D24">
        <f>IF(COUNT(D15,D42)&lt;2,"",ROUND(D15*D42,1))</f>
        <v/>
      </c>
      <c r="E24">
        <f>IF(COUNT(E15,E42)&lt;2,"",ROUND(E15*E42,1))</f>
        <v/>
      </c>
      <c r="F24">
        <f>IF(COUNT(F15,F42)&lt;2,"",ROUND(F15*F42,1))</f>
        <v/>
      </c>
      <c r="G24">
        <f>IF(COUNT(G15,G42)&lt;2,"",ROUND(G15*G42,1))</f>
        <v/>
      </c>
      <c r="H24">
        <f>IF(COUNT(H15,H42)&lt;2,"",ROUND(H15*H42,1))</f>
        <v/>
      </c>
      <c r="I24">
        <f>IF(COUNT(I15,I42)&lt;2,"",ROUND(I15*I42,1))</f>
        <v/>
      </c>
      <c r="J24">
        <f>IF(COUNT(J15,J42)&lt;2,"",ROUND(J15*J42,1))</f>
        <v/>
      </c>
      <c r="K24">
        <f>IF(COUNT(K15,K42)&lt;2,"",ROUND(K15*K42,1))</f>
        <v/>
      </c>
      <c r="L24">
        <f>IF(COUNT(L15,L42)&lt;2,"",ROUND(L15*L42,1))</f>
        <v/>
      </c>
      <c r="M24">
        <f>IF(COUNT(M15,M42)&lt;2,"",ROUND(M15*M42,1))</f>
        <v/>
      </c>
      <c r="N24">
        <f>IF(COUNT(B24:M24)&lt;12,"",SUM(B24:M24))</f>
        <v/>
      </c>
    </row>
    <row r="25" spans="1:14">
      <c r="A25" t="s">
        <v>19</v>
      </c>
      <c r="B25">
        <f>IF(COUNT(B16,B43)&lt;2,"",ROUND(B16*B43,1))</f>
        <v/>
      </c>
      <c r="C25">
        <f>IF(COUNT(C16,C43)&lt;2,"",ROUND(C16*C43,1))</f>
        <v/>
      </c>
      <c r="D25">
        <f>IF(COUNT(D16,D43)&lt;2,"",ROUND(D16*D43,1))</f>
        <v/>
      </c>
      <c r="E25">
        <f>IF(COUNT(E16,E43)&lt;2,"",ROUND(E16*E43,1))</f>
        <v/>
      </c>
      <c r="F25">
        <f>IF(COUNT(F16,F43)&lt;2,"",ROUND(F16*F43,1))</f>
        <v/>
      </c>
      <c r="G25">
        <f>IF(COUNT(G16,G43)&lt;2,"",ROUND(G16*G43,1))</f>
        <v/>
      </c>
      <c r="H25">
        <f>IF(COUNT(H16,H43)&lt;2,"",ROUND(H16*H43,1))</f>
        <v/>
      </c>
      <c r="I25">
        <f>IF(COUNT(I16,I43)&lt;2,"",ROUND(I16*I43,1))</f>
        <v/>
      </c>
      <c r="J25">
        <f>IF(COUNT(J16,J43)&lt;2,"",ROUND(J16*J43,1))</f>
        <v/>
      </c>
      <c r="K25">
        <f>IF(COUNT(K16,K43)&lt;2,"",ROUND(K16*K43,1))</f>
        <v/>
      </c>
      <c r="L25">
        <f>IF(COUNT(L16,L43)&lt;2,"",ROUND(L16*L43,1))</f>
        <v/>
      </c>
      <c r="M25">
        <f>IF(COUNT(M16,M43)&lt;2,"",ROUND(M16*M43,1))</f>
        <v/>
      </c>
      <c r="N25">
        <f>IF(COUNT(B25:M25)&lt;12,"",SUM(B25:M25))</f>
        <v/>
      </c>
    </row>
    <row r="26" spans="1:14">
      <c r="A26" t="s">
        <v>20</v>
      </c>
      <c r="B26">
        <f>IF(COUNT(B21:B25)&lt;5,"",SUM(B21:B25))</f>
        <v/>
      </c>
      <c r="C26">
        <f>IF(COUNT(C21:C25)&lt;5,"",SUM(C21:C25))</f>
        <v/>
      </c>
      <c r="D26">
        <f>IF(COUNT(D21:D25)&lt;5,"",SUM(D21:D25))</f>
        <v/>
      </c>
      <c r="E26">
        <f>IF(COUNT(E21:E25)&lt;5,"",SUM(E21:E25))</f>
        <v/>
      </c>
      <c r="F26">
        <f>IF(COUNT(F21:F25)&lt;5,"",SUM(F21:F25))</f>
        <v/>
      </c>
      <c r="G26">
        <f>IF(COUNT(G21:G25)&lt;5,"",SUM(G21:G25))</f>
        <v/>
      </c>
      <c r="H26">
        <f>IF(COUNT(H21:H25)&lt;5,"",SUM(H21:H25))</f>
        <v/>
      </c>
      <c r="I26">
        <f>IF(COUNT(I21:I25)&lt;5,"",SUM(I21:I25))</f>
        <v/>
      </c>
      <c r="J26">
        <f>IF(COUNT(J21:J25)&lt;5,"",SUM(J21:J25))</f>
        <v/>
      </c>
      <c r="K26">
        <f>IF(COUNT(K21:K25)&lt;5,"",SUM(K21:K25))</f>
        <v/>
      </c>
      <c r="L26">
        <f>IF(COUNT(L21:L25)&lt;5,"",SUM(L21:L25))</f>
        <v/>
      </c>
      <c r="M26">
        <f>IF(COUNT(M21:M25)&lt;5,"",SUM(M21:M25))</f>
        <v/>
      </c>
      <c r="N26">
        <f>IF(COUNT(N21:N25)&lt;5,"",SUM(N21:N25))</f>
        <v/>
      </c>
    </row>
    <row r="28" spans="1:14">
      <c r="A28" t="s">
        <v>30</v>
      </c>
    </row>
    <row r="29" spans="1:14">
      <c r="A29" t="s">
        <v>1</v>
      </c>
      <c r="B29" t="s">
        <v>2</v>
      </c>
      <c r="C29" t="s">
        <v>3</v>
      </c>
      <c r="D29" t="s">
        <v>4</v>
      </c>
      <c r="E29" t="s">
        <v>5</v>
      </c>
      <c r="F29" t="s">
        <v>6</v>
      </c>
      <c r="G29" t="s">
        <v>7</v>
      </c>
      <c r="H29" t="s">
        <v>8</v>
      </c>
      <c r="I29" t="s">
        <v>9</v>
      </c>
      <c r="J29" t="s">
        <v>10</v>
      </c>
      <c r="K29" t="s">
        <v>11</v>
      </c>
      <c r="L29" t="s">
        <v>12</v>
      </c>
      <c r="M29" t="s">
        <v>13</v>
      </c>
      <c r="N29" t="s">
        <v>24</v>
      </c>
    </row>
    <row r="30" spans="1:14">
      <c r="A30" t="s">
        <v>15</v>
      </c>
      <c r="N30">
        <f>IF(COUNT(N12,N3)&lt;2,"",IF(N3=0,"",N12/N3))</f>
        <v/>
      </c>
    </row>
    <row r="31" spans="1:14">
      <c r="A31" t="s">
        <v>16</v>
      </c>
      <c r="N31">
        <f>IF(COUNT(N13,N4)&lt;2,"",IF(N4=0,"",N13/N4))</f>
        <v/>
      </c>
    </row>
    <row r="32" spans="1:14">
      <c r="A32" t="s">
        <v>17</v>
      </c>
      <c r="N32">
        <f>IF(COUNT(N14,N5)&lt;2,"",IF(N5=0,"",N14/N5))</f>
        <v/>
      </c>
    </row>
    <row r="33" spans="1:14">
      <c r="A33" t="s">
        <v>18</v>
      </c>
      <c r="N33">
        <f>IF(COUNT(N15,N6)&lt;2,"",IF(N6=0,"",N15/N6))</f>
        <v/>
      </c>
    </row>
    <row r="34" spans="1:14">
      <c r="A34" t="s">
        <v>19</v>
      </c>
      <c r="N34">
        <f>IF(COUNT(N16,N7)&lt;2,"",IF(N7=0,"",N16/N7))</f>
        <v/>
      </c>
    </row>
    <row r="35" spans="1:14">
      <c r="A35" t="s">
        <v>25</v>
      </c>
      <c r="B35">
        <f>IF(COUNT(B17,B8)&lt;2,"",IF(B8=0,"",B17/B8))</f>
        <v/>
      </c>
      <c r="C35">
        <f>IF(COUNT(C17,C8)&lt;2,"",IF(C8=0,"",C17/C8))</f>
        <v/>
      </c>
      <c r="D35">
        <f>IF(COUNT(D17,D8)&lt;2,"",IF(D8=0,"",D17/D8))</f>
        <v/>
      </c>
      <c r="E35">
        <f>IF(COUNT(E17,E8)&lt;2,"",IF(E8=0,"",E17/E8))</f>
        <v/>
      </c>
      <c r="F35">
        <f>IF(COUNT(F17,F8)&lt;2,"",IF(F8=0,"",F17/F8))</f>
        <v/>
      </c>
      <c r="G35">
        <f>IF(COUNT(G17,G8)&lt;2,"",IF(G8=0,"",G17/G8))</f>
        <v/>
      </c>
      <c r="H35">
        <f>IF(COUNT(H17,H8)&lt;2,"",IF(H8=0,"",H17/H8))</f>
        <v/>
      </c>
      <c r="I35">
        <f>IF(COUNT(I17,I8)&lt;2,"",IF(I8=0,"",I17/I8))</f>
        <v/>
      </c>
      <c r="J35">
        <f>IF(COUNT(J17,J8)&lt;2,"",IF(J8=0,"",J17/J8))</f>
        <v/>
      </c>
      <c r="K35">
        <f>IF(COUNT(K17,K8)&lt;2,"",IF(K8=0,"",K17/K8))</f>
        <v/>
      </c>
      <c r="L35">
        <f>IF(COUNT(L17,L8)&lt;2,"",IF(L8=0,"",L17/L8))</f>
        <v/>
      </c>
      <c r="M35">
        <f>IF(COUNT(M17,M8)&lt;2,"",IF(M8=0,"",M17/M8))</f>
        <v/>
      </c>
      <c r="N35">
        <f>IF(COUNT(N17,N8)&lt;2,"",IF(N8=0,"",N17/N8))</f>
        <v/>
      </c>
    </row>
    <row r="37" spans="1:14">
      <c r="A37" t="s">
        <v>31</v>
      </c>
    </row>
    <row r="38" spans="1:14">
      <c r="A38" t="s">
        <v>1</v>
      </c>
      <c r="B38" t="s">
        <v>2</v>
      </c>
      <c r="C38" t="s">
        <v>3</v>
      </c>
      <c r="D38" t="s">
        <v>4</v>
      </c>
      <c r="E38" t="s">
        <v>5</v>
      </c>
      <c r="F38" t="s">
        <v>6</v>
      </c>
      <c r="G38" t="s">
        <v>7</v>
      </c>
      <c r="H38" t="s">
        <v>8</v>
      </c>
      <c r="I38" t="s">
        <v>9</v>
      </c>
      <c r="J38" t="s">
        <v>10</v>
      </c>
      <c r="K38" t="s">
        <v>11</v>
      </c>
      <c r="L38" t="s">
        <v>12</v>
      </c>
      <c r="M38" t="s">
        <v>13</v>
      </c>
      <c r="N38" t="s">
        <v>24</v>
      </c>
    </row>
    <row r="39" spans="1:14">
      <c r="A39" t="s">
        <v>15</v>
      </c>
      <c r="N39">
        <f>IF(COUNT(N21,N12)&lt;2,"",IF(N12=0,"",N21/N12))</f>
        <v/>
      </c>
    </row>
    <row r="40" spans="1:14">
      <c r="A40" t="s">
        <v>16</v>
      </c>
      <c r="N40">
        <f>IF(COUNT(N22,N13)&lt;2,"",IF(N13=0,"",N22/N13))</f>
        <v/>
      </c>
    </row>
    <row r="41" spans="1:14">
      <c r="A41" t="s">
        <v>17</v>
      </c>
      <c r="N41">
        <f>IF(COUNT(N23,N14)&lt;2,"",IF(N14=0,"",N23/N14))</f>
        <v/>
      </c>
    </row>
    <row r="42" spans="1:14">
      <c r="A42" t="s">
        <v>18</v>
      </c>
      <c r="N42">
        <f>IF(COUNT(N24,N15)&lt;2,"",IF(N15=0,"",N24/N15))</f>
        <v/>
      </c>
    </row>
    <row r="43" spans="1:14">
      <c r="A43" t="s">
        <v>19</v>
      </c>
      <c r="N43">
        <f>IF(COUNT(N25,N16)&lt;2,"",IF(N16=0,"",N25/N16))</f>
        <v/>
      </c>
    </row>
    <row r="44" spans="1:14">
      <c r="A44" t="s">
        <v>25</v>
      </c>
      <c r="B44">
        <f>IF(COUNT(B26,B17)&lt;2,"",IF(B17=0,"",B26/B17))</f>
        <v/>
      </c>
      <c r="C44">
        <f>IF(COUNT(C26,C17)&lt;2,"",IF(C17=0,"",C26/C17))</f>
        <v/>
      </c>
      <c r="D44">
        <f>IF(COUNT(D26,D17)&lt;2,"",IF(D17=0,"",D26/D17))</f>
        <v/>
      </c>
      <c r="E44">
        <f>IF(COUNT(E26,E17)&lt;2,"",IF(E17=0,"",E26/E17))</f>
        <v/>
      </c>
      <c r="F44">
        <f>IF(COUNT(F26,F17)&lt;2,"",IF(F17=0,"",F26/F17))</f>
        <v/>
      </c>
      <c r="G44">
        <f>IF(COUNT(G26,G17)&lt;2,"",IF(G17=0,"",G26/G17))</f>
        <v/>
      </c>
      <c r="H44">
        <f>IF(COUNT(H26,H17)&lt;2,"",IF(H17=0,"",H26/H17))</f>
        <v/>
      </c>
      <c r="I44">
        <f>IF(COUNT(I26,I17)&lt;2,"",IF(I17=0,"",I26/I17))</f>
        <v/>
      </c>
      <c r="J44">
        <f>IF(COUNT(J26,J17)&lt;2,"",IF(J17=0,"",J26/J17))</f>
        <v/>
      </c>
      <c r="K44">
        <f>IF(COUNT(K26,K17)&lt;2,"",IF(K17=0,"",K26/K17))</f>
        <v/>
      </c>
      <c r="L44">
        <f>IF(COUNT(L26,L17)&lt;2,"",IF(L17=0,"",L26/L17))</f>
        <v/>
      </c>
      <c r="M44">
        <f>IF(COUNT(M26,M17)&lt;2,"",IF(M17=0,"",M26/M17))</f>
        <v/>
      </c>
      <c r="N44">
        <f>IF(COUNT(N26,N17)&lt;2,"",IF(N17=0,"",N26/N17))</f>
        <v/>
      </c>
    </row>
    <row r="47" spans="1:14">
      <c r="A47" t="s">
        <v>32</v>
      </c>
    </row>
    <row r="48" spans="1:14">
      <c r="A48" t="s">
        <v>33</v>
      </c>
    </row>
    <row r="49" spans="1:1">
      <c r="A49" t="s">
        <v>34</v>
      </c>
    </row>
  </sheetData>
  <dataValidations count="3">
    <dataValidation type="whole" operator="greaterThanOrEqual" allowBlank="1" showInputMessage="1" showErrorMessage="1" error="羽数は0以上の整数を入力してください。" sqref="B3:M7">
      <formula1>0</formula1>
    </dataValidation>
    <dataValidation type="decimal" allowBlank="1" showInputMessage="1" showErrorMessage="1" error="育成率は0%～100%（98%または0.98）で入力してください。" sqref="B30:M34">
      <formula1>0</formula1>
      <formula2>1</formula2>
    </dataValidation>
    <dataValidation type="decimal" operator="greaterThan" allowBlank="1" showInputMessage="1" showErrorMessage="1" error="体重は0より大きい数値をkgで入力してください。" sqref="B39:M43">
      <formula1>0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4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8.7109375" customWidth="1"/>
    <col min="2" max="13" width="12.7109375" customWidth="1"/>
    <col min="14" max="14" width="16.7109375" customWidth="1"/>
  </cols>
  <sheetData>
    <row r="1" spans="1:14">
      <c r="A1" t="s">
        <v>43</v>
      </c>
    </row>
    <row r="2" spans="1:14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36</v>
      </c>
    </row>
    <row r="3" spans="1:14">
      <c r="A3" t="s">
        <v>15</v>
      </c>
      <c r="B3">
        <v>55006</v>
      </c>
      <c r="C3">
        <v>52673</v>
      </c>
      <c r="D3">
        <v>62600</v>
      </c>
      <c r="E3">
        <v>55850</v>
      </c>
      <c r="F3">
        <v>57139</v>
      </c>
      <c r="G3">
        <v>63100</v>
      </c>
      <c r="H3">
        <v>57800</v>
      </c>
      <c r="N3">
        <f>IF(COUNT(B3:M3)=0,"",SUM(B3:M3))</f>
        <v>404168.0</v>
      </c>
    </row>
    <row r="4" spans="1:14">
      <c r="A4" t="s">
        <v>16</v>
      </c>
      <c r="B4">
        <v>90900</v>
      </c>
      <c r="C4">
        <v>86200</v>
      </c>
      <c r="D4">
        <v>78400</v>
      </c>
      <c r="E4">
        <v>79900</v>
      </c>
      <c r="F4">
        <v>69900</v>
      </c>
      <c r="G4">
        <v>49500</v>
      </c>
      <c r="H4">
        <v>75600</v>
      </c>
      <c r="N4">
        <f>IF(COUNT(B4:M4)=0,"",SUM(B4:M4))</f>
        <v>530400.0</v>
      </c>
    </row>
    <row r="5" spans="1:14">
      <c r="A5" t="s">
        <v>17</v>
      </c>
      <c r="B5">
        <v>350600</v>
      </c>
      <c r="C5">
        <v>292400</v>
      </c>
      <c r="D5">
        <v>351200</v>
      </c>
      <c r="E5">
        <v>322300</v>
      </c>
      <c r="F5">
        <v>345100</v>
      </c>
      <c r="G5">
        <v>366900</v>
      </c>
      <c r="H5">
        <v>299800</v>
      </c>
      <c r="N5">
        <f>IF(COUNT(B5:M5)=0,"",SUM(B5:M5))</f>
        <v>2328300.0</v>
      </c>
    </row>
    <row r="6" spans="1:14">
      <c r="A6" t="s">
        <v>18</v>
      </c>
      <c r="B6">
        <v>214900</v>
      </c>
      <c r="C6">
        <v>229000</v>
      </c>
      <c r="D6">
        <v>219800</v>
      </c>
      <c r="E6">
        <v>251100</v>
      </c>
      <c r="F6">
        <v>240700</v>
      </c>
      <c r="G6">
        <v>224400</v>
      </c>
      <c r="H6">
        <v>232700</v>
      </c>
      <c r="N6">
        <f>IF(COUNT(B6:M6)=0,"",SUM(B6:M6))</f>
        <v>1612600.0</v>
      </c>
    </row>
    <row r="7" spans="1:14">
      <c r="A7" t="s">
        <v>19</v>
      </c>
      <c r="B7">
        <v>72000</v>
      </c>
      <c r="C7">
        <v>70212</v>
      </c>
      <c r="D7">
        <v>72000</v>
      </c>
      <c r="E7">
        <v>67200</v>
      </c>
      <c r="F7">
        <v>60000</v>
      </c>
      <c r="G7">
        <v>62403</v>
      </c>
      <c r="H7">
        <v>50000</v>
      </c>
      <c r="N7">
        <f>IF(COUNT(B7:M7)=0,"",SUM(B7:M7))</f>
        <v>453815.0</v>
      </c>
    </row>
    <row r="8" spans="1:14">
      <c r="A8" t="s">
        <v>20</v>
      </c>
      <c r="B8">
        <f>IF(COUNT(B3:B7)&lt;5,"",SUM(B3:B7))</f>
        <v>783406.0</v>
      </c>
      <c r="C8">
        <f>IF(COUNT(C3:C7)&lt;5,"",SUM(C3:C7))</f>
        <v>730485.0</v>
      </c>
      <c r="D8">
        <f>IF(COUNT(D3:D7)&lt;5,"",SUM(D3:D7))</f>
        <v>784000.0</v>
      </c>
      <c r="E8">
        <f>IF(COUNT(E3:E7)&lt;5,"",SUM(E3:E7))</f>
        <v>776350.0</v>
      </c>
      <c r="F8">
        <f>IF(COUNT(F3:F7)&lt;5,"",SUM(F3:F7))</f>
        <v>772839.0</v>
      </c>
      <c r="G8">
        <f>IF(COUNT(G3:G7)&lt;5,"",SUM(G3:G7))</f>
        <v>766303.0</v>
      </c>
      <c r="H8">
        <f>IF(COUNT(H3:H7)&lt;5,"",SUM(H3:H7))</f>
        <v>715900.0</v>
      </c>
      <c r="I8">
        <f>IF(COUNT(I3:I7)&lt;5,"",SUM(I3:I7))</f>
        <v/>
      </c>
      <c r="J8">
        <f>IF(COUNT(J3:J7)&lt;5,"",SUM(J3:J7))</f>
        <v/>
      </c>
      <c r="K8">
        <f>IF(COUNT(K3:K7)&lt;5,"",SUM(K3:K7))</f>
        <v/>
      </c>
      <c r="L8">
        <f>IF(COUNT(L3:L7)&lt;5,"",SUM(L3:L7))</f>
        <v/>
      </c>
      <c r="M8">
        <f>IF(COUNT(M3:M7)&lt;5,"",SUM(M3:M7))</f>
        <v/>
      </c>
      <c r="N8">
        <f>IF(COUNT(N3:N7)&lt;5,"",SUM(N3:N7))</f>
        <v>5329283.0</v>
      </c>
    </row>
    <row r="10" spans="1:14">
      <c r="A10" t="s">
        <v>44</v>
      </c>
    </row>
    <row r="11" spans="1:14">
      <c r="A11" t="s">
        <v>1</v>
      </c>
      <c r="B11" t="s">
        <v>2</v>
      </c>
      <c r="C11" t="s">
        <v>3</v>
      </c>
      <c r="D11" t="s">
        <v>4</v>
      </c>
      <c r="E11" t="s">
        <v>5</v>
      </c>
      <c r="F11" t="s">
        <v>6</v>
      </c>
      <c r="G11" t="s">
        <v>7</v>
      </c>
      <c r="H11" t="s">
        <v>8</v>
      </c>
      <c r="I11" t="s">
        <v>9</v>
      </c>
      <c r="J11" t="s">
        <v>10</v>
      </c>
      <c r="K11" t="s">
        <v>11</v>
      </c>
      <c r="L11" t="s">
        <v>12</v>
      </c>
      <c r="M11" t="s">
        <v>13</v>
      </c>
      <c r="N11" t="s">
        <v>36</v>
      </c>
    </row>
    <row r="12" spans="1:14">
      <c r="A12" t="s">
        <v>15</v>
      </c>
      <c r="B12">
        <v>49662</v>
      </c>
      <c r="C12">
        <v>49599</v>
      </c>
      <c r="D12">
        <v>61442</v>
      </c>
      <c r="E12">
        <v>54597</v>
      </c>
      <c r="F12">
        <v>56130</v>
      </c>
      <c r="G12">
        <v>62784</v>
      </c>
      <c r="H12">
        <v>56448</v>
      </c>
      <c r="N12">
        <f>IF(COUNT(B12:M12)=0,"",SUM(B12:M12))</f>
        <v>390662.0</v>
      </c>
    </row>
    <row r="13" spans="1:14">
      <c r="A13" t="s">
        <v>16</v>
      </c>
      <c r="B13">
        <v>87323</v>
      </c>
      <c r="C13">
        <v>79427</v>
      </c>
      <c r="D13">
        <v>74827</v>
      </c>
      <c r="E13">
        <v>74076</v>
      </c>
      <c r="F13">
        <v>66268</v>
      </c>
      <c r="G13">
        <v>46813</v>
      </c>
      <c r="H13">
        <v>71538</v>
      </c>
      <c r="N13">
        <f>IF(COUNT(B13:M13)=0,"",SUM(B13:M13))</f>
        <v>500272.0</v>
      </c>
    </row>
    <row r="14" spans="1:14">
      <c r="A14" t="s">
        <v>17</v>
      </c>
      <c r="B14">
        <v>341440</v>
      </c>
      <c r="C14">
        <v>285288</v>
      </c>
      <c r="D14">
        <v>338800</v>
      </c>
      <c r="E14">
        <v>316248</v>
      </c>
      <c r="F14">
        <v>336398</v>
      </c>
      <c r="G14">
        <v>359533</v>
      </c>
      <c r="H14">
        <v>295444</v>
      </c>
      <c r="N14">
        <f>IF(COUNT(B14:M14)=0,"",SUM(B14:M14))</f>
        <v>2273151.0</v>
      </c>
    </row>
    <row r="15" spans="1:14">
      <c r="A15" t="s">
        <v>18</v>
      </c>
      <c r="B15">
        <v>207713</v>
      </c>
      <c r="C15">
        <v>219312</v>
      </c>
      <c r="D15">
        <v>214270</v>
      </c>
      <c r="E15">
        <v>244140</v>
      </c>
      <c r="F15">
        <v>235820</v>
      </c>
      <c r="G15">
        <v>221305</v>
      </c>
      <c r="H15">
        <v>231256</v>
      </c>
      <c r="N15">
        <f>IF(COUNT(B15:M15)=0,"",SUM(B15:M15))</f>
        <v>1573816.0</v>
      </c>
    </row>
    <row r="16" spans="1:14">
      <c r="A16" t="s">
        <v>19</v>
      </c>
      <c r="B16">
        <v>70038</v>
      </c>
      <c r="C16">
        <v>67166</v>
      </c>
      <c r="D16">
        <v>70082</v>
      </c>
      <c r="E16">
        <v>66276</v>
      </c>
      <c r="F16">
        <v>59008</v>
      </c>
      <c r="G16">
        <v>61497</v>
      </c>
      <c r="H16">
        <v>49445</v>
      </c>
      <c r="N16">
        <f>IF(COUNT(B16:M16)=0,"",SUM(B16:M16))</f>
        <v>443512.0</v>
      </c>
    </row>
    <row r="17" spans="1:14">
      <c r="A17" t="s">
        <v>20</v>
      </c>
      <c r="B17">
        <f>IF(COUNT(B12:B16)&lt;5,"",SUM(B12:B16))</f>
        <v>756176.0</v>
      </c>
      <c r="C17">
        <f>IF(COUNT(C12:C16)&lt;5,"",SUM(C12:C16))</f>
        <v>700792.0</v>
      </c>
      <c r="D17">
        <f>IF(COUNT(D12:D16)&lt;5,"",SUM(D12:D16))</f>
        <v>759421.0</v>
      </c>
      <c r="E17">
        <f>IF(COUNT(E12:E16)&lt;5,"",SUM(E12:E16))</f>
        <v>755337.0</v>
      </c>
      <c r="F17">
        <f>IF(COUNT(F12:F16)&lt;5,"",SUM(F12:F16))</f>
        <v>753624.0</v>
      </c>
      <c r="G17">
        <f>IF(COUNT(G12:G16)&lt;5,"",SUM(G12:G16))</f>
        <v>751932.0</v>
      </c>
      <c r="H17">
        <f>IF(COUNT(H12:H16)&lt;5,"",SUM(H12:H16))</f>
        <v>704131.0</v>
      </c>
      <c r="I17">
        <f>IF(COUNT(I12:I16)&lt;5,"",SUM(I12:I16))</f>
        <v/>
      </c>
      <c r="J17">
        <f>IF(COUNT(J12:J16)&lt;5,"",SUM(J12:J16))</f>
        <v/>
      </c>
      <c r="K17">
        <f>IF(COUNT(K12:K16)&lt;5,"",SUM(K12:K16))</f>
        <v/>
      </c>
      <c r="L17">
        <f>IF(COUNT(L12:L16)&lt;5,"",SUM(L12:L16))</f>
        <v/>
      </c>
      <c r="M17">
        <f>IF(COUNT(M12:M16)&lt;5,"",SUM(M12:M16))</f>
        <v/>
      </c>
      <c r="N17">
        <f>IF(COUNT(N12:N16)&lt;5,"",SUM(N12:N16))</f>
        <v>5181413.0</v>
      </c>
    </row>
    <row r="19" spans="1:14">
      <c r="A19" t="s">
        <v>45</v>
      </c>
    </row>
    <row r="20" spans="1:14">
      <c r="A20" t="s">
        <v>1</v>
      </c>
      <c r="B20" t="s">
        <v>2</v>
      </c>
      <c r="C20" t="s">
        <v>3</v>
      </c>
      <c r="D20" t="s">
        <v>4</v>
      </c>
      <c r="E20" t="s">
        <v>5</v>
      </c>
      <c r="F20" t="s">
        <v>6</v>
      </c>
      <c r="G20" t="s">
        <v>7</v>
      </c>
      <c r="H20" t="s">
        <v>8</v>
      </c>
      <c r="I20" t="s">
        <v>9</v>
      </c>
      <c r="J20" t="s">
        <v>10</v>
      </c>
      <c r="K20" t="s">
        <v>11</v>
      </c>
      <c r="L20" t="s">
        <v>12</v>
      </c>
      <c r="M20" t="s">
        <v>13</v>
      </c>
      <c r="N20" t="s">
        <v>36</v>
      </c>
    </row>
    <row r="21" spans="1:14">
      <c r="A21" t="s">
        <v>15</v>
      </c>
      <c r="B21">
        <v>187405.1</v>
      </c>
      <c r="C21">
        <v>181907.4</v>
      </c>
      <c r="D21">
        <v>231200.2</v>
      </c>
      <c r="E21">
        <v>197733.5</v>
      </c>
      <c r="F21">
        <v>196536.9</v>
      </c>
      <c r="G21">
        <v>221566.7</v>
      </c>
      <c r="H21">
        <v>194013.4</v>
      </c>
      <c r="N21">
        <f>IF(COUNT(B21:M21)=0,"",SUM(B21:M21))</f>
        <v>1410363.2</v>
      </c>
    </row>
    <row r="22" spans="1:14">
      <c r="A22" t="s">
        <v>16</v>
      </c>
      <c r="B22">
        <v>286299.4</v>
      </c>
      <c r="C22">
        <v>251579.7</v>
      </c>
      <c r="D22">
        <v>246681.9</v>
      </c>
      <c r="E22">
        <v>251832.3</v>
      </c>
      <c r="F22">
        <v>213503.4</v>
      </c>
      <c r="G22">
        <v>156492.9</v>
      </c>
      <c r="H22">
        <v>238821.8</v>
      </c>
      <c r="N22">
        <f>IF(COUNT(B22:M22)=0,"",SUM(B22:M22))</f>
        <v>1645211.4</v>
      </c>
    </row>
    <row r="23" spans="1:14">
      <c r="A23" t="s">
        <v>17</v>
      </c>
      <c r="B23">
        <v>985452.8</v>
      </c>
      <c r="C23">
        <v>834735.6</v>
      </c>
      <c r="D23">
        <v>998232.7</v>
      </c>
      <c r="E23">
        <v>968720.2</v>
      </c>
      <c r="F23">
        <v>1042549.9</v>
      </c>
      <c r="G23">
        <v>1125852</v>
      </c>
      <c r="H23">
        <v>891736.9</v>
      </c>
      <c r="N23">
        <f>IF(COUNT(B23:M23)=0,"",SUM(B23:M23))</f>
        <v>6847280.1</v>
      </c>
    </row>
    <row r="24" spans="1:14">
      <c r="A24" t="s">
        <v>18</v>
      </c>
      <c r="B24">
        <v>653184.1</v>
      </c>
      <c r="C24">
        <v>687485</v>
      </c>
      <c r="D24">
        <v>703985.5</v>
      </c>
      <c r="E24">
        <v>796245.3</v>
      </c>
      <c r="F24">
        <v>769508.9</v>
      </c>
      <c r="G24">
        <v>716889.8</v>
      </c>
      <c r="H24">
        <v>725315.1</v>
      </c>
      <c r="N24">
        <f>IF(COUNT(B24:M24)=0,"",SUM(B24:M24))</f>
        <v>5052613.7</v>
      </c>
    </row>
    <row r="25" spans="1:14">
      <c r="A25" t="s">
        <v>19</v>
      </c>
      <c r="B25">
        <v>224870.9</v>
      </c>
      <c r="C25">
        <v>219172.2</v>
      </c>
      <c r="D25">
        <v>233382</v>
      </c>
      <c r="E25">
        <v>214726.2</v>
      </c>
      <c r="F25">
        <v>194159.9</v>
      </c>
      <c r="G25">
        <v>204679.6</v>
      </c>
      <c r="H25">
        <v>155893.7</v>
      </c>
      <c r="N25">
        <f>IF(COUNT(B25:M25)=0,"",SUM(B25:M25))</f>
        <v>1446884.5</v>
      </c>
    </row>
    <row r="26" spans="1:14">
      <c r="A26" t="s">
        <v>20</v>
      </c>
      <c r="B26">
        <f>IF(COUNT(B21:B25)&lt;5,"",SUM(B21:B25))</f>
        <v>2337212.3</v>
      </c>
      <c r="C26">
        <f>IF(COUNT(C21:C25)&lt;5,"",SUM(C21:C25))</f>
        <v>2174879.9</v>
      </c>
      <c r="D26">
        <f>IF(COUNT(D21:D25)&lt;5,"",SUM(D21:D25))</f>
        <v>2413482.3</v>
      </c>
      <c r="E26">
        <f>IF(COUNT(E21:E25)&lt;5,"",SUM(E21:E25))</f>
        <v>2429257.5</v>
      </c>
      <c r="F26">
        <f>IF(COUNT(F21:F25)&lt;5,"",SUM(F21:F25))</f>
        <v>2416259.0</v>
      </c>
      <c r="G26">
        <f>IF(COUNT(G21:G25)&lt;5,"",SUM(G21:G25))</f>
        <v>2425481.0</v>
      </c>
      <c r="H26">
        <f>IF(COUNT(H21:H25)&lt;5,"",SUM(H21:H25))</f>
        <v>2205780.9</v>
      </c>
      <c r="I26">
        <f>IF(COUNT(I21:I25)&lt;5,"",SUM(I21:I25))</f>
        <v/>
      </c>
      <c r="J26">
        <f>IF(COUNT(J21:J25)&lt;5,"",SUM(J21:J25))</f>
        <v/>
      </c>
      <c r="K26">
        <f>IF(COUNT(K21:K25)&lt;5,"",SUM(K21:K25))</f>
        <v/>
      </c>
      <c r="L26">
        <f>IF(COUNT(L21:L25)&lt;5,"",SUM(L21:L25))</f>
        <v/>
      </c>
      <c r="M26">
        <f>IF(COUNT(M21:M25)&lt;5,"",SUM(M21:M25))</f>
        <v/>
      </c>
      <c r="N26">
        <f>IF(COUNT(N21:N25)&lt;5,"",SUM(N21:N25))</f>
        <v>16402352.9</v>
      </c>
    </row>
    <row r="28" spans="1:14">
      <c r="A28" t="s">
        <v>30</v>
      </c>
    </row>
    <row r="29" spans="1:14">
      <c r="A29" t="s">
        <v>1</v>
      </c>
      <c r="B29" t="s">
        <v>2</v>
      </c>
      <c r="C29" t="s">
        <v>3</v>
      </c>
      <c r="D29" t="s">
        <v>4</v>
      </c>
      <c r="E29" t="s">
        <v>5</v>
      </c>
      <c r="F29" t="s">
        <v>6</v>
      </c>
      <c r="G29" t="s">
        <v>7</v>
      </c>
      <c r="H29" t="s">
        <v>8</v>
      </c>
      <c r="I29" t="s">
        <v>9</v>
      </c>
      <c r="J29" t="s">
        <v>10</v>
      </c>
      <c r="K29" t="s">
        <v>11</v>
      </c>
      <c r="L29" t="s">
        <v>12</v>
      </c>
      <c r="M29" t="s">
        <v>13</v>
      </c>
      <c r="N29" t="s">
        <v>40</v>
      </c>
    </row>
    <row r="30" spans="1:14">
      <c r="A30" t="s">
        <v>15</v>
      </c>
      <c r="B30">
        <f>IF(COUNT(B12,B3)&lt;2,"",IF(B3=0,"",B12/B3))</f>
        <v>0.9028469621495837</v>
      </c>
      <c r="C30">
        <f>IF(COUNT(C12,C3)&lt;2,"",IF(C3=0,"",C12/C3))</f>
        <v>0.9416399293755814</v>
      </c>
      <c r="D30">
        <f>IF(COUNT(D12,D3)&lt;2,"",IF(D3=0,"",D12/D3))</f>
        <v>0.9815015974440895</v>
      </c>
      <c r="E30">
        <f>IF(COUNT(E12,E3)&lt;2,"",IF(E3=0,"",E12/E3))</f>
        <v>0.9775649059982094</v>
      </c>
      <c r="F30">
        <f>IF(COUNT(F12,F3)&lt;2,"",IF(F3=0,"",F12/F3))</f>
        <v>0.9823413080382926</v>
      </c>
      <c r="G30">
        <f>IF(COUNT(G12,G3)&lt;2,"",IF(G3=0,"",G12/G3))</f>
        <v>0.9949920760697306</v>
      </c>
      <c r="H30">
        <f>IF(COUNT(H12,H3)&lt;2,"",IF(H3=0,"",H12/H3))</f>
        <v>0.9766089965397924</v>
      </c>
      <c r="I30">
        <f>IF(COUNT(I12,I3)&lt;2,"",IF(I3=0,"",I12/I3))</f>
        <v/>
      </c>
      <c r="J30">
        <f>IF(COUNT(J12,J3)&lt;2,"",IF(J3=0,"",J12/J3))</f>
        <v/>
      </c>
      <c r="K30">
        <f>IF(COUNT(K12,K3)&lt;2,"",IF(K3=0,"",K12/K3))</f>
        <v/>
      </c>
      <c r="L30">
        <f>IF(COUNT(L12,L3)&lt;2,"",IF(L3=0,"",L12/L3))</f>
        <v/>
      </c>
      <c r="M30">
        <f>IF(COUNT(M12,M3)&lt;2,"",IF(M3=0,"",M12/M3))</f>
        <v/>
      </c>
      <c r="N30">
        <f>IF(COUNT(N12,N3)&lt;2,"",IF(N3=0,"",N12/N3))</f>
        <v>0.9665832030244849</v>
      </c>
    </row>
    <row r="31" spans="1:14">
      <c r="A31" t="s">
        <v>16</v>
      </c>
      <c r="B31">
        <f>IF(COUNT(B13,B4)&lt;2,"",IF(B4=0,"",B13/B4))</f>
        <v>0.9606490649064906</v>
      </c>
      <c r="C31">
        <f>IF(COUNT(C13,C4)&lt;2,"",IF(C4=0,"",C13/C4))</f>
        <v>0.9214269141531323</v>
      </c>
      <c r="D31">
        <f>IF(COUNT(D13,D4)&lt;2,"",IF(D4=0,"",D13/D4))</f>
        <v>0.9544260204081633</v>
      </c>
      <c r="E31">
        <f>IF(COUNT(E13,E4)&lt;2,"",IF(E4=0,"",E13/E4))</f>
        <v>0.9271088861076345</v>
      </c>
      <c r="F31">
        <f>IF(COUNT(F13,F4)&lt;2,"",IF(F4=0,"",F13/F4))</f>
        <v>0.9480400572246066</v>
      </c>
      <c r="G31">
        <f>IF(COUNT(G13,G4)&lt;2,"",IF(G4=0,"",G13/G4))</f>
        <v>0.9457171717171717</v>
      </c>
      <c r="H31">
        <f>IF(COUNT(H13,H4)&lt;2,"",IF(H4=0,"",H13/H4))</f>
        <v>0.9462698412698413</v>
      </c>
      <c r="I31">
        <f>IF(COUNT(I13,I4)&lt;2,"",IF(I4=0,"",I13/I4))</f>
        <v/>
      </c>
      <c r="J31">
        <f>IF(COUNT(J13,J4)&lt;2,"",IF(J4=0,"",J13/J4))</f>
        <v/>
      </c>
      <c r="K31">
        <f>IF(COUNT(K13,K4)&lt;2,"",IF(K4=0,"",K13/K4))</f>
        <v/>
      </c>
      <c r="L31">
        <f>IF(COUNT(L13,L4)&lt;2,"",IF(L4=0,"",L13/L4))</f>
        <v/>
      </c>
      <c r="M31">
        <f>IF(COUNT(M13,M4)&lt;2,"",IF(M4=0,"",M13/M4))</f>
        <v/>
      </c>
      <c r="N31">
        <f>IF(COUNT(N13,N4)&lt;2,"",IF(N4=0,"",N13/N4))</f>
        <v>0.9431975867269985</v>
      </c>
    </row>
    <row r="32" spans="1:14">
      <c r="A32" t="s">
        <v>17</v>
      </c>
      <c r="B32">
        <f>IF(COUNT(B14,B5)&lt;2,"",IF(B5=0,"",B14/B5))</f>
        <v>0.973873359954364</v>
      </c>
      <c r="C32">
        <f>IF(COUNT(C14,C5)&lt;2,"",IF(C5=0,"",C14/C5))</f>
        <v>0.9756771545827634</v>
      </c>
      <c r="D32">
        <f>IF(COUNT(D14,D5)&lt;2,"",IF(D5=0,"",D14/D5))</f>
        <v>0.9646924829157175</v>
      </c>
      <c r="E32">
        <f>IF(COUNT(E14,E5)&lt;2,"",IF(E5=0,"",E14/E5))</f>
        <v>0.9812224635432827</v>
      </c>
      <c r="F32">
        <f>IF(COUNT(F14,F5)&lt;2,"",IF(F5=0,"",F14/F5))</f>
        <v>0.9747841205447696</v>
      </c>
      <c r="G32">
        <f>IF(COUNT(G14,G5)&lt;2,"",IF(G5=0,"",G14/G5))</f>
        <v>0.9799209593894794</v>
      </c>
      <c r="H32">
        <f>IF(COUNT(H14,H5)&lt;2,"",IF(H5=0,"",H14/H5))</f>
        <v>0.9854703135423616</v>
      </c>
      <c r="I32">
        <f>IF(COUNT(I14,I5)&lt;2,"",IF(I5=0,"",I14/I5))</f>
        <v/>
      </c>
      <c r="J32">
        <f>IF(COUNT(J14,J5)&lt;2,"",IF(J5=0,"",J14/J5))</f>
        <v/>
      </c>
      <c r="K32">
        <f>IF(COUNT(K14,K5)&lt;2,"",IF(K5=0,"",K14/K5))</f>
        <v/>
      </c>
      <c r="L32">
        <f>IF(COUNT(L14,L5)&lt;2,"",IF(L5=0,"",L14/L5))</f>
        <v/>
      </c>
      <c r="M32">
        <f>IF(COUNT(M14,M5)&lt;2,"",IF(M5=0,"",M14/M5))</f>
        <v/>
      </c>
      <c r="N32">
        <f>IF(COUNT(N14,N5)&lt;2,"",IF(N5=0,"",N14/N5))</f>
        <v>0.976313619378946</v>
      </c>
    </row>
    <row r="33" spans="1:14">
      <c r="A33" t="s">
        <v>18</v>
      </c>
      <c r="B33">
        <f>IF(COUNT(B15,B6)&lt;2,"",IF(B6=0,"",B15/B6))</f>
        <v>0.9665565379246162</v>
      </c>
      <c r="C33">
        <f>IF(COUNT(C15,C6)&lt;2,"",IF(C6=0,"",C15/C6))</f>
        <v>0.9576943231441049</v>
      </c>
      <c r="D33">
        <f>IF(COUNT(D15,D6)&lt;2,"",IF(D6=0,"",D15/D6))</f>
        <v>0.9748407643312101</v>
      </c>
      <c r="E33">
        <f>IF(COUNT(E15,E6)&lt;2,"",IF(E6=0,"",E15/E6))</f>
        <v>0.9722819593787335</v>
      </c>
      <c r="F33">
        <f>IF(COUNT(F15,F6)&lt;2,"",IF(F6=0,"",F15/F6))</f>
        <v>0.979725799750727</v>
      </c>
      <c r="G33">
        <f>IF(COUNT(G15,G6)&lt;2,"",IF(G6=0,"",G15/G6))</f>
        <v>0.9862076648841355</v>
      </c>
      <c r="H33">
        <f>IF(COUNT(H15,H6)&lt;2,"",IF(H6=0,"",H15/H6))</f>
        <v>0.9937945853029652</v>
      </c>
      <c r="I33">
        <f>IF(COUNT(I15,I6)&lt;2,"",IF(I6=0,"",I15/I6))</f>
        <v/>
      </c>
      <c r="J33">
        <f>IF(COUNT(J15,J6)&lt;2,"",IF(J6=0,"",J15/J6))</f>
        <v/>
      </c>
      <c r="K33">
        <f>IF(COUNT(K15,K6)&lt;2,"",IF(K6=0,"",K15/K6))</f>
        <v/>
      </c>
      <c r="L33">
        <f>IF(COUNT(L15,L6)&lt;2,"",IF(L6=0,"",L15/L6))</f>
        <v/>
      </c>
      <c r="M33">
        <f>IF(COUNT(M15,M6)&lt;2,"",IF(M6=0,"",M15/M6))</f>
        <v/>
      </c>
      <c r="N33">
        <f>IF(COUNT(N15,N6)&lt;2,"",IF(N6=0,"",N15/N6))</f>
        <v>0.9759493984869155</v>
      </c>
    </row>
    <row r="34" spans="1:14">
      <c r="A34" t="s">
        <v>19</v>
      </c>
      <c r="B34">
        <f>IF(COUNT(B16,B7)&lt;2,"",IF(B7=0,"",B16/B7))</f>
        <v>0.97275</v>
      </c>
      <c r="C34">
        <f>IF(COUNT(C16,C7)&lt;2,"",IF(C7=0,"",C16/C7))</f>
        <v>0.956617102489603</v>
      </c>
      <c r="D34">
        <f>IF(COUNT(D16,D7)&lt;2,"",IF(D7=0,"",D16/D7))</f>
        <v>0.9733611111111111</v>
      </c>
      <c r="E34">
        <f>IF(COUNT(E16,E7)&lt;2,"",IF(E7=0,"",E16/E7))</f>
        <v>0.98625</v>
      </c>
      <c r="F34">
        <f>IF(COUNT(F16,F7)&lt;2,"",IF(F7=0,"",F16/F7))</f>
        <v>0.9834666666666667</v>
      </c>
      <c r="G34">
        <f>IF(COUNT(G16,G7)&lt;2,"",IF(G7=0,"",G16/G7))</f>
        <v>0.985481467237152</v>
      </c>
      <c r="H34">
        <f>IF(COUNT(H16,H7)&lt;2,"",IF(H7=0,"",H16/H7))</f>
        <v>0.9889</v>
      </c>
      <c r="I34">
        <f>IF(COUNT(I16,I7)&lt;2,"",IF(I7=0,"",I16/I7))</f>
        <v/>
      </c>
      <c r="J34">
        <f>IF(COUNT(J16,J7)&lt;2,"",IF(J7=0,"",J16/J7))</f>
        <v/>
      </c>
      <c r="K34">
        <f>IF(COUNT(K16,K7)&lt;2,"",IF(K7=0,"",K16/K7))</f>
        <v/>
      </c>
      <c r="L34">
        <f>IF(COUNT(L16,L7)&lt;2,"",IF(L7=0,"",L16/L7))</f>
        <v/>
      </c>
      <c r="M34">
        <f>IF(COUNT(M16,M7)&lt;2,"",IF(M7=0,"",M16/M7))</f>
        <v/>
      </c>
      <c r="N34">
        <f>IF(COUNT(N16,N7)&lt;2,"",IF(N7=0,"",N16/N7))</f>
        <v>0.9772969161442439</v>
      </c>
    </row>
    <row r="35" spans="1:14">
      <c r="A35" t="s">
        <v>25</v>
      </c>
      <c r="B35">
        <f>IF(COUNT(B17,B8)&lt;2,"",IF(B8=0,"",B17/B8))</f>
        <v>0.965241522275806</v>
      </c>
      <c r="C35">
        <f>IF(COUNT(C17,C8)&lt;2,"",IF(C8=0,"",C17/C8))</f>
        <v>0.9593516636207451</v>
      </c>
      <c r="D35">
        <f>IF(COUNT(D17,D8)&lt;2,"",IF(D8=0,"",D17/D8))</f>
        <v>0.9686492346938775</v>
      </c>
      <c r="E35">
        <f>IF(COUNT(E17,E8)&lt;2,"",IF(E8=0,"",E17/E8))</f>
        <v>0.9729335995362917</v>
      </c>
      <c r="F35">
        <f>IF(COUNT(F17,F8)&lt;2,"",IF(F8=0,"",F17/F8))</f>
        <v>0.9751371242910878</v>
      </c>
      <c r="G35">
        <f>IF(COUNT(G17,G8)&lt;2,"",IF(G8=0,"",G17/G8))</f>
        <v>0.9812463216247359</v>
      </c>
      <c r="H35">
        <f>IF(COUNT(H17,H8)&lt;2,"",IF(H8=0,"",H17/H8))</f>
        <v>0.9835605531498812</v>
      </c>
      <c r="I35">
        <f>IF(COUNT(I17,I8)&lt;2,"",IF(I8=0,"",I17/I8))</f>
        <v/>
      </c>
      <c r="J35">
        <f>IF(COUNT(J17,J8)&lt;2,"",IF(J8=0,"",J17/J8))</f>
        <v/>
      </c>
      <c r="K35">
        <f>IF(COUNT(K17,K8)&lt;2,"",IF(K8=0,"",K17/K8))</f>
        <v/>
      </c>
      <c r="L35">
        <f>IF(COUNT(L17,L8)&lt;2,"",IF(L8=0,"",L17/L8))</f>
        <v/>
      </c>
      <c r="M35">
        <f>IF(COUNT(M17,M8)&lt;2,"",IF(M8=0,"",M17/M8))</f>
        <v/>
      </c>
      <c r="N35">
        <f>IF(COUNT(N17,N8)&lt;2,"",IF(N8=0,"",N17/N8))</f>
        <v>0.9722533031178866</v>
      </c>
    </row>
    <row r="37" spans="1:14">
      <c r="A37" t="s">
        <v>46</v>
      </c>
    </row>
    <row r="38" spans="1:14">
      <c r="A38" t="s">
        <v>1</v>
      </c>
      <c r="B38" t="s">
        <v>2</v>
      </c>
      <c r="C38" t="s">
        <v>3</v>
      </c>
      <c r="D38" t="s">
        <v>4</v>
      </c>
      <c r="E38" t="s">
        <v>5</v>
      </c>
      <c r="F38" t="s">
        <v>6</v>
      </c>
      <c r="G38" t="s">
        <v>7</v>
      </c>
      <c r="H38" t="s">
        <v>8</v>
      </c>
      <c r="I38" t="s">
        <v>9</v>
      </c>
      <c r="J38" t="s">
        <v>10</v>
      </c>
      <c r="K38" t="s">
        <v>11</v>
      </c>
      <c r="L38" t="s">
        <v>12</v>
      </c>
      <c r="M38" t="s">
        <v>13</v>
      </c>
      <c r="N38" t="s">
        <v>42</v>
      </c>
    </row>
    <row r="39" spans="1:14">
      <c r="A39" t="s">
        <v>15</v>
      </c>
      <c r="B39">
        <f>IF(COUNT(B21,B12)&lt;2,"",IF(B12=0,"",B21/B12))</f>
        <v>3.7736116145141154</v>
      </c>
      <c r="C39">
        <f>IF(COUNT(C21,C12)&lt;2,"",IF(C12=0,"",C21/C12))</f>
        <v>3.6675618460049595</v>
      </c>
      <c r="D39">
        <f>IF(COUNT(D21,D12)&lt;2,"",IF(D12=0,"",D21/D12))</f>
        <v>3.762901598255265</v>
      </c>
      <c r="E39">
        <f>IF(COUNT(E21,E12)&lt;2,"",IF(E12=0,"",E21/E12))</f>
        <v>3.6216916680403686</v>
      </c>
      <c r="F39">
        <f>IF(COUNT(F21,F12)&lt;2,"",IF(F12=0,"",F21/F12))</f>
        <v>3.5014591127739174</v>
      </c>
      <c r="G39">
        <f>IF(COUNT(G21,G12)&lt;2,"",IF(G12=0,"",G21/G12))</f>
        <v>3.52903128185525</v>
      </c>
      <c r="H39">
        <f>IF(COUNT(H21,H12)&lt;2,"",IF(H12=0,"",H21/H12))</f>
        <v>3.4370287698412696</v>
      </c>
      <c r="I39">
        <f>IF(COUNT(I21,I12)&lt;2,"",IF(I12=0,"",I21/I12))</f>
        <v/>
      </c>
      <c r="J39">
        <f>IF(COUNT(J21,J12)&lt;2,"",IF(J12=0,"",J21/J12))</f>
        <v/>
      </c>
      <c r="K39">
        <f>IF(COUNT(K21,K12)&lt;2,"",IF(K12=0,"",K21/K12))</f>
        <v/>
      </c>
      <c r="L39">
        <f>IF(COUNT(L21,L12)&lt;2,"",IF(L12=0,"",L21/L12))</f>
        <v/>
      </c>
      <c r="M39">
        <f>IF(COUNT(M21,M12)&lt;2,"",IF(M12=0,"",M21/M12))</f>
        <v/>
      </c>
      <c r="N39">
        <f>IF(COUNT(N21,N12)&lt;2,"",IF(N12=0,"",N21/N12))</f>
        <v>3.6101878350082677</v>
      </c>
    </row>
    <row r="40" spans="1:14">
      <c r="A40" t="s">
        <v>16</v>
      </c>
      <c r="B40">
        <f>IF(COUNT(B22,B13)&lt;2,"",IF(B13=0,"",B22/B13))</f>
        <v>3.2786253335318305</v>
      </c>
      <c r="C40">
        <f>IF(COUNT(C22,C13)&lt;2,"",IF(C13=0,"",C22/C13))</f>
        <v>3.1674329887821524</v>
      </c>
      <c r="D40">
        <f>IF(COUNT(D22,D13)&lt;2,"",IF(D13=0,"",D22/D13))</f>
        <v>3.296696379649057</v>
      </c>
      <c r="E40">
        <f>IF(COUNT(E22,E13)&lt;2,"",IF(E13=0,"",E22/E13))</f>
        <v>3.3996476591608618</v>
      </c>
      <c r="F40">
        <f>IF(COUNT(F22,F13)&lt;2,"",IF(F13=0,"",F22/F13))</f>
        <v>3.221817468461399</v>
      </c>
      <c r="G40">
        <f>IF(COUNT(G22,G13)&lt;2,"",IF(G13=0,"",G22/G13))</f>
        <v>3.3429367910623116</v>
      </c>
      <c r="H40">
        <f>IF(COUNT(H22,H13)&lt;2,"",IF(H13=0,"",H22/H13))</f>
        <v>3.338390785316894</v>
      </c>
      <c r="I40">
        <f>IF(COUNT(I22,I13)&lt;2,"",IF(I13=0,"",I22/I13))</f>
        <v/>
      </c>
      <c r="J40">
        <f>IF(COUNT(J22,J13)&lt;2,"",IF(J13=0,"",J22/J13))</f>
        <v/>
      </c>
      <c r="K40">
        <f>IF(COUNT(K22,K13)&lt;2,"",IF(K13=0,"",K22/K13))</f>
        <v/>
      </c>
      <c r="L40">
        <f>IF(COUNT(L22,L13)&lt;2,"",IF(L13=0,"",L22/L13))</f>
        <v/>
      </c>
      <c r="M40">
        <f>IF(COUNT(M22,M13)&lt;2,"",IF(M13=0,"",M22/M13))</f>
        <v/>
      </c>
      <c r="N40">
        <f>IF(COUNT(N22,N13)&lt;2,"",IF(N13=0,"",N22/N13))</f>
        <v>3.2886337832219272</v>
      </c>
    </row>
    <row r="41" spans="1:14">
      <c r="A41" t="s">
        <v>17</v>
      </c>
      <c r="B41">
        <f>IF(COUNT(B23,B14)&lt;2,"",IF(B14=0,"",B23/B14))</f>
        <v>2.886166822867854</v>
      </c>
      <c r="C41">
        <f>IF(COUNT(C23,C14)&lt;2,"",IF(C14=0,"",C23/C14))</f>
        <v>2.9259401026331284</v>
      </c>
      <c r="D41">
        <f>IF(COUNT(D23,D14)&lt;2,"",IF(D14=0,"",D23/D14))</f>
        <v>2.9463775088547814</v>
      </c>
      <c r="E41">
        <f>IF(COUNT(E23,E14)&lt;2,"",IF(E14=0,"",E23/E14))</f>
        <v>3.0631662492727227</v>
      </c>
      <c r="F41">
        <f>IF(COUNT(F23,F14)&lt;2,"",IF(F14=0,"",F23/F14))</f>
        <v>3.099156059191791</v>
      </c>
      <c r="G41">
        <f>IF(COUNT(G23,G14)&lt;2,"",IF(G14=0,"",G23/G14))</f>
        <v>3.1314288257267067</v>
      </c>
      <c r="H41">
        <f>IF(COUNT(H23,H14)&lt;2,"",IF(H14=0,"",H23/H14))</f>
        <v>3.018294160653119</v>
      </c>
      <c r="I41">
        <f>IF(COUNT(I23,I14)&lt;2,"",IF(I14=0,"",I23/I14))</f>
        <v/>
      </c>
      <c r="J41">
        <f>IF(COUNT(J23,J14)&lt;2,"",IF(J14=0,"",J23/J14))</f>
        <v/>
      </c>
      <c r="K41">
        <f>IF(COUNT(K23,K14)&lt;2,"",IF(K14=0,"",K23/K14))</f>
        <v/>
      </c>
      <c r="L41">
        <f>IF(COUNT(L23,L14)&lt;2,"",IF(L14=0,"",L23/L14))</f>
        <v/>
      </c>
      <c r="M41">
        <f>IF(COUNT(M23,M14)&lt;2,"",IF(M14=0,"",M23/M14))</f>
        <v/>
      </c>
      <c r="N41">
        <f>IF(COUNT(N23,N14)&lt;2,"",IF(N14=0,"",N23/N14))</f>
        <v>3.0122416416683273</v>
      </c>
    </row>
    <row r="42" spans="1:14">
      <c r="A42" t="s">
        <v>18</v>
      </c>
      <c r="B42">
        <f>IF(COUNT(B24,B15)&lt;2,"",IF(B15=0,"",B24/B15))</f>
        <v>3.144647181447478</v>
      </c>
      <c r="C42">
        <f>IF(COUNT(C24,C15)&lt;2,"",IF(C15=0,"",C24/C15))</f>
        <v>3.1347349894214633</v>
      </c>
      <c r="D42">
        <f>IF(COUNT(D24,D15)&lt;2,"",IF(D15=0,"",D24/D15))</f>
        <v>3.2855066038176135</v>
      </c>
      <c r="E42">
        <f>IF(COUNT(E24,E15)&lt;2,"",IF(E15=0,"",E24/E15))</f>
        <v>3.2614290980584912</v>
      </c>
      <c r="F42">
        <f>IF(COUNT(F24,F15)&lt;2,"",IF(F15=0,"",F24/F15))</f>
        <v>3.26311975235349</v>
      </c>
      <c r="G42">
        <f>IF(COUNT(G24,G15)&lt;2,"",IF(G15=0,"",G24/G15))</f>
        <v>3.239374618738845</v>
      </c>
      <c r="H42">
        <f>IF(COUNT(H24,H15)&lt;2,"",IF(H15=0,"",H24/H15))</f>
        <v>3.1364163524405853</v>
      </c>
      <c r="I42">
        <f>IF(COUNT(I24,I15)&lt;2,"",IF(I15=0,"",I24/I15))</f>
        <v/>
      </c>
      <c r="J42">
        <f>IF(COUNT(J24,J15)&lt;2,"",IF(J15=0,"",J24/J15))</f>
        <v/>
      </c>
      <c r="K42">
        <f>IF(COUNT(K24,K15)&lt;2,"",IF(K15=0,"",K24/K15))</f>
        <v/>
      </c>
      <c r="L42">
        <f>IF(COUNT(L24,L15)&lt;2,"",IF(L15=0,"",L24/L15))</f>
        <v/>
      </c>
      <c r="M42">
        <f>IF(COUNT(M24,M15)&lt;2,"",IF(M15=0,"",M24/M15))</f>
        <v/>
      </c>
      <c r="N42">
        <f>IF(COUNT(N24,N15)&lt;2,"",IF(N15=0,"",N24/N15))</f>
        <v>3.210422120502016</v>
      </c>
    </row>
    <row r="43" spans="1:14">
      <c r="A43" t="s">
        <v>19</v>
      </c>
      <c r="B43">
        <f>IF(COUNT(B25,B16)&lt;2,"",IF(B16=0,"",B25/B16))</f>
        <v>3.2106984779691023</v>
      </c>
      <c r="C43">
        <f>IF(COUNT(C25,C16)&lt;2,"",IF(C16=0,"",C25/C16))</f>
        <v>3.2631420659262127</v>
      </c>
      <c r="D43">
        <f>IF(COUNT(D25,D16)&lt;2,"",IF(D16=0,"",D25/D16))</f>
        <v>3.330127564852601</v>
      </c>
      <c r="E43">
        <f>IF(COUNT(E25,E16)&lt;2,"",IF(E16=0,"",E25/E16))</f>
        <v>3.239878689118233</v>
      </c>
      <c r="F43">
        <f>IF(COUNT(F25,F16)&lt;2,"",IF(F16=0,"",F25/F16))</f>
        <v>3.2903996068329717</v>
      </c>
      <c r="G43">
        <f>IF(COUNT(G25,G16)&lt;2,"",IF(G16=0,"",G25/G16))</f>
        <v>3.328285932647121</v>
      </c>
      <c r="H43">
        <f>IF(COUNT(H25,H16)&lt;2,"",IF(H16=0,"",H25/H16))</f>
        <v>3.1528708666194762</v>
      </c>
      <c r="I43">
        <f>IF(COUNT(I25,I16)&lt;2,"",IF(I16=0,"",I25/I16))</f>
        <v/>
      </c>
      <c r="J43">
        <f>IF(COUNT(J25,J16)&lt;2,"",IF(J16=0,"",J25/J16))</f>
        <v/>
      </c>
      <c r="K43">
        <f>IF(COUNT(K25,K16)&lt;2,"",IF(K16=0,"",K25/K16))</f>
        <v/>
      </c>
      <c r="L43">
        <f>IF(COUNT(L25,L16)&lt;2,"",IF(L16=0,"",L25/L16))</f>
        <v/>
      </c>
      <c r="M43">
        <f>IF(COUNT(M25,M16)&lt;2,"",IF(M16=0,"",M25/M16))</f>
        <v/>
      </c>
      <c r="N43">
        <f>IF(COUNT(N25,N16)&lt;2,"",IF(N16=0,"",N25/N16))</f>
        <v>3.262334502786847</v>
      </c>
    </row>
    <row r="44" spans="1:14">
      <c r="A44" t="s">
        <v>25</v>
      </c>
      <c r="B44">
        <f>IF(COUNT(B26,B17)&lt;2,"",IF(B17=0,"",B26/B17))</f>
        <v>3.0908311028120434</v>
      </c>
      <c r="C44">
        <f>IF(COUNT(C26,C17)&lt;2,"",IF(C17=0,"",C26/C17))</f>
        <v>3.1034599424650966</v>
      </c>
      <c r="D44">
        <f>IF(COUNT(D26,D17)&lt;2,"",IF(D17=0,"",D26/D17))</f>
        <v>3.178055781970738</v>
      </c>
      <c r="E44">
        <f>IF(COUNT(E26,E17)&lt;2,"",IF(E17=0,"",E26/E17))</f>
        <v>3.2161240611806385</v>
      </c>
      <c r="F44">
        <f>IF(COUNT(F26,F17)&lt;2,"",IF(F17=0,"",F26/F17))</f>
        <v>3.2061863741069816</v>
      </c>
      <c r="G44">
        <f>IF(COUNT(G26,G17)&lt;2,"",IF(G17=0,"",G26/G17))</f>
        <v>3.2256653527180648</v>
      </c>
      <c r="H44">
        <f>IF(COUNT(H26,H17)&lt;2,"",IF(H17=0,"",H26/H17))</f>
        <v>3.1326285875781634</v>
      </c>
      <c r="I44">
        <f>IF(COUNT(I26,I17)&lt;2,"",IF(I17=0,"",I26/I17))</f>
        <v/>
      </c>
      <c r="J44">
        <f>IF(COUNT(J26,J17)&lt;2,"",IF(J17=0,"",J26/J17))</f>
        <v/>
      </c>
      <c r="K44">
        <f>IF(COUNT(K26,K17)&lt;2,"",IF(K17=0,"",K26/K17))</f>
        <v/>
      </c>
      <c r="L44">
        <f>IF(COUNT(L26,L17)&lt;2,"",IF(L17=0,"",L26/L17))</f>
        <v/>
      </c>
      <c r="M44">
        <f>IF(COUNT(M26,M17)&lt;2,"",IF(M17=0,"",M26/M17))</f>
        <v/>
      </c>
      <c r="N44">
        <f>IF(COUNT(N26,N17)&lt;2,"",IF(N17=0,"",N26/N17))</f>
        <v>3.1656138779132257</v>
      </c>
    </row>
    <row r="47" spans="1:14">
      <c r="A47" t="s">
        <v>47</v>
      </c>
    </row>
  </sheetData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3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8.7109375" customWidth="1"/>
    <col min="2" max="14" width="16.7109375" customWidth="1"/>
  </cols>
  <sheetData>
    <row r="1" spans="1:4">
      <c r="A1" t="s">
        <v>48</v>
      </c>
    </row>
    <row r="2" spans="1:4">
      <c r="A2" t="s">
        <v>49</v>
      </c>
    </row>
    <row r="3" spans="1:4">
      <c r="A3" t="s">
        <v>50</v>
      </c>
    </row>
    <row r="4" spans="1:4">
      <c r="A4" t="s">
        <v>51</v>
      </c>
    </row>
    <row r="6" spans="1:4">
      <c r="A6" t="s">
        <v>52</v>
      </c>
    </row>
    <row r="7" spans="1:4">
      <c r="A7" t="s">
        <v>1</v>
      </c>
      <c r="B7" t="s">
        <v>53</v>
      </c>
      <c r="C7" t="s">
        <v>54</v>
      </c>
      <c r="D7" t="s">
        <v>55</v>
      </c>
    </row>
    <row r="8" spans="1:4">
      <c r="A8" t="s">
        <v>15</v>
      </c>
      <c r="B8">
        <f>COUNT('計画入力'!B3:M3,'計画入力'!B30:M30,'計画入力'!B39:M39)</f>
        <v>0</v>
      </c>
      <c r="C8">
        <f>36-B8</f>
        <v>36</v>
      </c>
      <c r="D8" t="str">
        <f>IF(C8=0,"入力完了","未入力あり")</f>
        <v>未入力あり</v>
      </c>
    </row>
    <row r="9" spans="1:4">
      <c r="A9" t="s">
        <v>16</v>
      </c>
      <c r="B9">
        <f>COUNT('計画入力'!B4:M4,'計画入力'!B31:M31,'計画入力'!B40:M40)</f>
        <v>0</v>
      </c>
      <c r="C9">
        <f>36-B9</f>
        <v>36</v>
      </c>
      <c r="D9" t="str">
        <f>IF(C9=0,"入力完了","未入力あり")</f>
        <v>未入力あり</v>
      </c>
    </row>
    <row r="10" spans="1:4">
      <c r="A10" t="s">
        <v>17</v>
      </c>
      <c r="B10">
        <f>COUNT('計画入力'!B5:M5,'計画入力'!B32:M32,'計画入力'!B41:M41)</f>
        <v>0</v>
      </c>
      <c r="C10">
        <f>36-B10</f>
        <v>36</v>
      </c>
      <c r="D10" t="str">
        <f>IF(C10=0,"入力完了","未入力あり")</f>
        <v>未入力あり</v>
      </c>
    </row>
    <row r="11" spans="1:4">
      <c r="A11" t="s">
        <v>18</v>
      </c>
      <c r="B11">
        <f>COUNT('計画入力'!B6:M6,'計画入力'!B33:M33,'計画入力'!B42:M42)</f>
        <v>0</v>
      </c>
      <c r="C11">
        <f>36-B11</f>
        <v>36</v>
      </c>
      <c r="D11" t="str">
        <f>IF(C11=0,"入力完了","未入力あり")</f>
        <v>未入力あり</v>
      </c>
    </row>
    <row r="12" spans="1:4">
      <c r="A12" t="s">
        <v>19</v>
      </c>
      <c r="B12">
        <f>COUNT('計画入力'!B7:M7,'計画入力'!B34:M34,'計画入力'!B43:M43)</f>
        <v>0</v>
      </c>
      <c r="C12">
        <f>36-B12</f>
        <v>36</v>
      </c>
      <c r="D12" t="str">
        <f>IF(C12=0,"入力完了","未入力あり")</f>
        <v>未入力あり</v>
      </c>
    </row>
    <row r="13" spans="1:4">
      <c r="A13" t="s">
        <v>56</v>
      </c>
      <c r="B13">
        <f>SUM(B8:B12)</f>
        <v>0</v>
      </c>
      <c r="C13">
        <f>SUM(C8:C12)</f>
        <v>180</v>
      </c>
      <c r="D13" t="str">
        <f>IF(C13=0,"入力完了","未入力あり")</f>
        <v>未入力あり</v>
      </c>
    </row>
    <row r="16" spans="1:4">
      <c r="A16" t="s">
        <v>57</v>
      </c>
    </row>
    <row r="17" spans="1:14">
      <c r="A17" t="s">
        <v>1</v>
      </c>
      <c r="B17" t="s">
        <v>27</v>
      </c>
      <c r="C17" t="s">
        <v>58</v>
      </c>
      <c r="D17" t="s">
        <v>59</v>
      </c>
      <c r="E17" t="s">
        <v>30</v>
      </c>
      <c r="F17" t="s">
        <v>60</v>
      </c>
    </row>
    <row r="18" spans="1:14">
      <c r="A18" t="s">
        <v>15</v>
      </c>
      <c r="B18">
        <f>IF(ISNUMBER('計画入力'!N3),'計画入力'!N3,"")</f>
        <v/>
      </c>
      <c r="C18">
        <f>IF(ISNUMBER('計画入力'!N12),'計画入力'!N12,"")</f>
        <v/>
      </c>
      <c r="D18">
        <f>IF(ISNUMBER('計画入力'!N21),'計画入力'!N21,"")</f>
        <v/>
      </c>
      <c r="E18">
        <f>IF(ISNUMBER('計画入力'!N30),'計画入力'!N30,"")</f>
        <v/>
      </c>
      <c r="F18">
        <f>IF(ISNUMBER('計画入力'!N39),'計画入力'!N39,"")</f>
        <v/>
      </c>
    </row>
    <row r="19" spans="1:14">
      <c r="A19" t="s">
        <v>16</v>
      </c>
      <c r="B19">
        <f>IF(ISNUMBER('計画入力'!N4),'計画入力'!N4,"")</f>
        <v/>
      </c>
      <c r="C19">
        <f>IF(ISNUMBER('計画入力'!N13),'計画入力'!N13,"")</f>
        <v/>
      </c>
      <c r="D19">
        <f>IF(ISNUMBER('計画入力'!N22),'計画入力'!N22,"")</f>
        <v/>
      </c>
      <c r="E19">
        <f>IF(ISNUMBER('計画入力'!N31),'計画入力'!N31,"")</f>
        <v/>
      </c>
      <c r="F19">
        <f>IF(ISNUMBER('計画入力'!N40),'計画入力'!N40,"")</f>
        <v/>
      </c>
    </row>
    <row r="20" spans="1:14">
      <c r="A20" t="s">
        <v>17</v>
      </c>
      <c r="B20">
        <f>IF(ISNUMBER('計画入力'!N5),'計画入力'!N5,"")</f>
        <v/>
      </c>
      <c r="C20">
        <f>IF(ISNUMBER('計画入力'!N14),'計画入力'!N14,"")</f>
        <v/>
      </c>
      <c r="D20">
        <f>IF(ISNUMBER('計画入力'!N23),'計画入力'!N23,"")</f>
        <v/>
      </c>
      <c r="E20">
        <f>IF(ISNUMBER('計画入力'!N32),'計画入力'!N32,"")</f>
        <v/>
      </c>
      <c r="F20">
        <f>IF(ISNUMBER('計画入力'!N41),'計画入力'!N41,"")</f>
        <v/>
      </c>
    </row>
    <row r="21" spans="1:14">
      <c r="A21" t="s">
        <v>18</v>
      </c>
      <c r="B21">
        <f>IF(ISNUMBER('計画入力'!N6),'計画入力'!N6,"")</f>
        <v/>
      </c>
      <c r="C21">
        <f>IF(ISNUMBER('計画入力'!N15),'計画入力'!N15,"")</f>
        <v/>
      </c>
      <c r="D21">
        <f>IF(ISNUMBER('計画入力'!N24),'計画入力'!N24,"")</f>
        <v/>
      </c>
      <c r="E21">
        <f>IF(ISNUMBER('計画入力'!N33),'計画入力'!N33,"")</f>
        <v/>
      </c>
      <c r="F21">
        <f>IF(ISNUMBER('計画入力'!N42),'計画入力'!N42,"")</f>
        <v/>
      </c>
    </row>
    <row r="22" spans="1:14">
      <c r="A22" t="s">
        <v>19</v>
      </c>
      <c r="B22">
        <f>IF(ISNUMBER('計画入力'!N7),'計画入力'!N7,"")</f>
        <v/>
      </c>
      <c r="C22">
        <f>IF(ISNUMBER('計画入力'!N16),'計画入力'!N16,"")</f>
        <v/>
      </c>
      <c r="D22">
        <f>IF(ISNUMBER('計画入力'!N25),'計画入力'!N25,"")</f>
        <v/>
      </c>
      <c r="E22">
        <f>IF(ISNUMBER('計画入力'!N34),'計画入力'!N34,"")</f>
        <v/>
      </c>
      <c r="F22">
        <f>IF(ISNUMBER('計画入力'!N43),'計画入力'!N43,"")</f>
        <v/>
      </c>
    </row>
    <row r="25" spans="1:14">
      <c r="A25" t="s">
        <v>61</v>
      </c>
    </row>
    <row r="26" spans="1:14">
      <c r="A26" t="s">
        <v>1</v>
      </c>
      <c r="B26" t="s">
        <v>62</v>
      </c>
      <c r="C26" t="s">
        <v>63</v>
      </c>
      <c r="D26" t="s">
        <v>64</v>
      </c>
      <c r="E26" t="s">
        <v>65</v>
      </c>
      <c r="F26" t="s">
        <v>66</v>
      </c>
      <c r="G26" t="s">
        <v>67</v>
      </c>
      <c r="H26" t="s">
        <v>64</v>
      </c>
      <c r="I26" t="s">
        <v>65</v>
      </c>
      <c r="J26" t="s">
        <v>68</v>
      </c>
      <c r="K26" t="s">
        <v>69</v>
      </c>
      <c r="L26" t="s">
        <v>70</v>
      </c>
      <c r="M26" t="s">
        <v>65</v>
      </c>
      <c r="N26" t="s">
        <v>71</v>
      </c>
    </row>
    <row r="27" spans="1:14">
      <c r="A27" t="s">
        <v>15</v>
      </c>
      <c r="B27">
        <f>IF(COUNT('計画入力'!B3:H3)&lt;7,"",SUM('計画入力'!B3:H3))</f>
        <v/>
      </c>
      <c r="C27">
        <f>SUM('前年実績'!B3:H3)</f>
        <v>404168.0</v>
      </c>
      <c r="D27">
        <f>IF(COUNT(B27,C27)&lt;2,"",B27-C27)</f>
        <v/>
      </c>
      <c r="E27">
        <f>IF(COUNT(B27,C27)&lt;2,"",IF(C27=0,"",D27/C27))</f>
        <v/>
      </c>
      <c r="F27">
        <f>IF(COUNT('計画入力'!B12:H12)&lt;7,"",SUM('計画入力'!B12:H12))</f>
        <v/>
      </c>
      <c r="G27">
        <f>SUM('前年実績'!B12:H12)</f>
        <v>390662.0</v>
      </c>
      <c r="H27">
        <f>IF(COUNT(F27,G27)&lt;2,"",F27-G27)</f>
        <v/>
      </c>
      <c r="I27">
        <f>IF(COUNT(F27,G27)&lt;2,"",IF(G27=0,"",H27/G27))</f>
        <v/>
      </c>
      <c r="J27">
        <f>IF(COUNT('計画入力'!B21:H21)&lt;7,"",SUM('計画入力'!B21:H21))</f>
        <v/>
      </c>
      <c r="K27">
        <f>SUM('前年実績'!B21:H21)</f>
        <v>1410363.2</v>
      </c>
      <c r="L27">
        <f>IF(COUNT(J27,K27)&lt;2,"",J27-K27)</f>
        <v/>
      </c>
      <c r="M27">
        <f>IF(COUNT(J27,K27)&lt;2,"",IF(K27=0,"",L27/K27))</f>
        <v/>
      </c>
      <c r="N27" t="str">
        <f>IF(COUNT(B27,F27,J27)=3,"比較可能","計画入力待ち")</f>
        <v>計画入力待ち</v>
      </c>
    </row>
    <row r="28" spans="1:14">
      <c r="A28" t="s">
        <v>16</v>
      </c>
      <c r="B28">
        <f>IF(COUNT('計画入力'!B4:H4)&lt;7,"",SUM('計画入力'!B4:H4))</f>
        <v/>
      </c>
      <c r="C28">
        <f>SUM('前年実績'!B4:H4)</f>
        <v>530400.0</v>
      </c>
      <c r="D28">
        <f>IF(COUNT(B28,C28)&lt;2,"",B28-C28)</f>
        <v/>
      </c>
      <c r="E28">
        <f>IF(COUNT(B28,C28)&lt;2,"",IF(C28=0,"",D28/C28))</f>
        <v/>
      </c>
      <c r="F28">
        <f>IF(COUNT('計画入力'!B13:H13)&lt;7,"",SUM('計画入力'!B13:H13))</f>
        <v/>
      </c>
      <c r="G28">
        <f>SUM('前年実績'!B13:H13)</f>
        <v>500272.0</v>
      </c>
      <c r="H28">
        <f>IF(COUNT(F28,G28)&lt;2,"",F28-G28)</f>
        <v/>
      </c>
      <c r="I28">
        <f>IF(COUNT(F28,G28)&lt;2,"",IF(G28=0,"",H28/G28))</f>
        <v/>
      </c>
      <c r="J28">
        <f>IF(COUNT('計画入力'!B22:H22)&lt;7,"",SUM('計画入力'!B22:H22))</f>
        <v/>
      </c>
      <c r="K28">
        <f>SUM('前年実績'!B22:H22)</f>
        <v>1645211.4</v>
      </c>
      <c r="L28">
        <f>IF(COUNT(J28,K28)&lt;2,"",J28-K28)</f>
        <v/>
      </c>
      <c r="M28">
        <f>IF(COUNT(J28,K28)&lt;2,"",IF(K28=0,"",L28/K28))</f>
        <v/>
      </c>
      <c r="N28" t="str">
        <f>IF(COUNT(B28,F28,J28)=3,"比較可能","計画入力待ち")</f>
        <v>計画入力待ち</v>
      </c>
    </row>
    <row r="29" spans="1:14">
      <c r="A29" t="s">
        <v>17</v>
      </c>
      <c r="B29">
        <f>IF(COUNT('計画入力'!B5:H5)&lt;7,"",SUM('計画入力'!B5:H5))</f>
        <v/>
      </c>
      <c r="C29">
        <f>SUM('前年実績'!B5:H5)</f>
        <v>2328300.0</v>
      </c>
      <c r="D29">
        <f>IF(COUNT(B29,C29)&lt;2,"",B29-C29)</f>
        <v/>
      </c>
      <c r="E29">
        <f>IF(COUNT(B29,C29)&lt;2,"",IF(C29=0,"",D29/C29))</f>
        <v/>
      </c>
      <c r="F29">
        <f>IF(COUNT('計画入力'!B14:H14)&lt;7,"",SUM('計画入力'!B14:H14))</f>
        <v/>
      </c>
      <c r="G29">
        <f>SUM('前年実績'!B14:H14)</f>
        <v>2273151.0</v>
      </c>
      <c r="H29">
        <f>IF(COUNT(F29,G29)&lt;2,"",F29-G29)</f>
        <v/>
      </c>
      <c r="I29">
        <f>IF(COUNT(F29,G29)&lt;2,"",IF(G29=0,"",H29/G29))</f>
        <v/>
      </c>
      <c r="J29">
        <f>IF(COUNT('計画入力'!B23:H23)&lt;7,"",SUM('計画入力'!B23:H23))</f>
        <v/>
      </c>
      <c r="K29">
        <f>SUM('前年実績'!B23:H23)</f>
        <v>6847280.1</v>
      </c>
      <c r="L29">
        <f>IF(COUNT(J29,K29)&lt;2,"",J29-K29)</f>
        <v/>
      </c>
      <c r="M29">
        <f>IF(COUNT(J29,K29)&lt;2,"",IF(K29=0,"",L29/K29))</f>
        <v/>
      </c>
      <c r="N29" t="str">
        <f>IF(COUNT(B29,F29,J29)=3,"比較可能","計画入力待ち")</f>
        <v>計画入力待ち</v>
      </c>
    </row>
    <row r="30" spans="1:14">
      <c r="A30" t="s">
        <v>18</v>
      </c>
      <c r="B30">
        <f>IF(COUNT('計画入力'!B6:H6)&lt;7,"",SUM('計画入力'!B6:H6))</f>
        <v/>
      </c>
      <c r="C30">
        <f>SUM('前年実績'!B6:H6)</f>
        <v>1612600.0</v>
      </c>
      <c r="D30">
        <f>IF(COUNT(B30,C30)&lt;2,"",B30-C30)</f>
        <v/>
      </c>
      <c r="E30">
        <f>IF(COUNT(B30,C30)&lt;2,"",IF(C30=0,"",D30/C30))</f>
        <v/>
      </c>
      <c r="F30">
        <f>IF(COUNT('計画入力'!B15:H15)&lt;7,"",SUM('計画入力'!B15:H15))</f>
        <v/>
      </c>
      <c r="G30">
        <f>SUM('前年実績'!B15:H15)</f>
        <v>1573816.0</v>
      </c>
      <c r="H30">
        <f>IF(COUNT(F30,G30)&lt;2,"",F30-G30)</f>
        <v/>
      </c>
      <c r="I30">
        <f>IF(COUNT(F30,G30)&lt;2,"",IF(G30=0,"",H30/G30))</f>
        <v/>
      </c>
      <c r="J30">
        <f>IF(COUNT('計画入力'!B24:H24)&lt;7,"",SUM('計画入力'!B24:H24))</f>
        <v/>
      </c>
      <c r="K30">
        <f>SUM('前年実績'!B24:H24)</f>
        <v>5052613.7</v>
      </c>
      <c r="L30">
        <f>IF(COUNT(J30,K30)&lt;2,"",J30-K30)</f>
        <v/>
      </c>
      <c r="M30">
        <f>IF(COUNT(J30,K30)&lt;2,"",IF(K30=0,"",L30/K30))</f>
        <v/>
      </c>
      <c r="N30" t="str">
        <f>IF(COUNT(B30,F30,J30)=3,"比較可能","計画入力待ち")</f>
        <v>計画入力待ち</v>
      </c>
    </row>
    <row r="31" spans="1:14">
      <c r="A31" t="s">
        <v>19</v>
      </c>
      <c r="B31">
        <f>IF(COUNT('計画入力'!B7:H7)&lt;7,"",SUM('計画入力'!B7:H7))</f>
        <v/>
      </c>
      <c r="C31">
        <f>SUM('前年実績'!B7:H7)</f>
        <v>453815.0</v>
      </c>
      <c r="D31">
        <f>IF(COUNT(B31,C31)&lt;2,"",B31-C31)</f>
        <v/>
      </c>
      <c r="E31">
        <f>IF(COUNT(B31,C31)&lt;2,"",IF(C31=0,"",D31/C31))</f>
        <v/>
      </c>
      <c r="F31">
        <f>IF(COUNT('計画入力'!B16:H16)&lt;7,"",SUM('計画入力'!B16:H16))</f>
        <v/>
      </c>
      <c r="G31">
        <f>SUM('前年実績'!B16:H16)</f>
        <v>443512.0</v>
      </c>
      <c r="H31">
        <f>IF(COUNT(F31,G31)&lt;2,"",F31-G31)</f>
        <v/>
      </c>
      <c r="I31">
        <f>IF(COUNT(F31,G31)&lt;2,"",IF(G31=0,"",H31/G31))</f>
        <v/>
      </c>
      <c r="J31">
        <f>IF(COUNT('計画入力'!B25:H25)&lt;7,"",SUM('計画入力'!B25:H25))</f>
        <v/>
      </c>
      <c r="K31">
        <f>SUM('前年実績'!B25:H25)</f>
        <v>1446884.5</v>
      </c>
      <c r="L31">
        <f>IF(COUNT(J31,K31)&lt;2,"",J31-K31)</f>
        <v/>
      </c>
      <c r="M31">
        <f>IF(COUNT(J31,K31)&lt;2,"",IF(K31=0,"",L31/K31))</f>
        <v/>
      </c>
      <c r="N31" t="str">
        <f>IF(COUNT(B31,F31,J31)=3,"比較可能","計画入力待ち")</f>
        <v>計画入力待ち</v>
      </c>
    </row>
    <row r="34" spans="1:1">
      <c r="A34" t="s">
        <v>75</v>
      </c>
    </row>
    <row r="35" spans="1:1">
      <c r="A35" t="s">
        <v>73</v>
      </c>
    </row>
    <row r="36" spans="1:1">
      <c r="A36" t="s">
        <v>74</v>
      </c>
    </row>
  </sheetData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計画入力</vt:lpstr>
      <vt:lpstr>前年実績</vt:lpstr>
      <vt:lpstr>計画確認</vt:lpstr>
      <vt:lpstr>前年実績!Print_Area</vt:lpstr>
      <vt:lpstr>計画入力!Print_Area</vt:lpstr>
      <vt:lpstr>計画確認!Print_Area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2027年 計画入力（シンプル版）</dc:title>
  <dc:creator/>
  <dc:description>3シート構成。装飾なし、セル保護なし。前年実績は2026年1～7月。</dc:description>
  <cp:lastModifiedBy/>
  <dcterms:created xsi:type="dcterms:W3CDTF">2026-10-31T09:52:25Z</dcterms:created>
  <dcterms:modified xsi:type="dcterms:W3CDTF">2026-10-31T09:52:25Z</dcterms:modified>
</cp:coreProperties>
</file>