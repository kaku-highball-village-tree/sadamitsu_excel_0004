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計画入力" sheetId="1" r:id="rId1"/>
    <sheet name="前年実績" sheetId="2" r:id="rId2"/>
    <sheet name="計画確認" sheetId="3" r:id="rId3"/>
  </sheets>
  <definedNames>
    <definedName name="_xlnm.Print_Area" localSheetId="1">前年実績!$B$1:$O$61</definedName>
    <definedName name="_xlnm.Print_Area" localSheetId="0">計画入力!$B$1:$O$62</definedName>
    <definedName name="_xlnm.Print_Area" localSheetId="2">計画確認!$B$1:$O$36</definedName>
    <definedName name="_xlnm.Print_Titles" localSheetId="1">前年実績!$1:$4</definedName>
    <definedName name="_xlnm.Print_Titles" localSheetId="0">計画入力!$1:$4</definedName>
    <definedName name="_xlnm.Print_Titles" localSheetId="2">計画確認!$1:$4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8" authorId="0">
      <text>
        <r>
          <rPr>
            <sz val="8"/>
            <color indexed="81"/>
            <rFont val="Tahoma"/>
            <family val="2"/>
          </rPr>
          <t>月別・品種別の計画入雛羽数を入力します。前年実績を参考にしても、計画値の確定は担当者が行います。</t>
        </r>
      </text>
    </comment>
    <comment ref="C41" authorId="0">
      <text>
        <r>
          <rPr>
            <sz val="8"/>
            <color indexed="81"/>
            <rFont val="Tahoma"/>
            <family val="2"/>
          </rPr>
          <t>98% または0.98と入力します。98という数値では入力できません。</t>
        </r>
      </text>
    </comment>
    <comment ref="C52" authorId="0">
      <text>
        <r>
          <rPr>
            <sz val="8"/>
            <color indexed="81"/>
            <rFont val="Tahoma"/>
            <family val="2"/>
          </rPr>
          <t>計画体重はkg／羽です。例：3.50。</t>
        </r>
      </text>
    </comment>
  </commentList>
</comments>
</file>

<file path=xl/sharedStrings.xml><?xml version="1.0" encoding="utf-8"?>
<sst xmlns="http://schemas.openxmlformats.org/spreadsheetml/2006/main" count="273" uniqueCount="77">
  <si>
    <t>2027年　品種別 計画入力</t>
  </si>
  <si>
    <t>計画原本｜黄色セルを入力・灰色セルは自動計算</t>
  </si>
  <si>
    <t>2026年　品種別 前年実績</t>
  </si>
  <si>
    <t>参考データ｜実績の収録期間：2026年1～7月。8～12月は未収録</t>
  </si>
  <si>
    <t>2027年　計画確認</t>
  </si>
  <si>
    <t>入力チェック・年間計画・前年同期間との比較</t>
  </si>
  <si>
    <t>入力は「入雛羽数・育成率・体重」の3表だけです。育成率は98%または0.98と入力してください。</t>
  </si>
  <si>
    <t>未入力は空欄です。0は計画値0として扱います。重量はkg、体重はkg／羽で統一しています。</t>
  </si>
  <si>
    <t>添付明細から集計した廃棄控除後の実績です。右端は1～7月累計で、年間確定値ではありません。</t>
  </si>
  <si>
    <t>実績0と未収録を区別しています。入力セルはありません。実績データの更新は別途必要です。</t>
  </si>
  <si>
    <t>入雛羽数（羽）　［入力］</t>
  </si>
  <si>
    <t>品種区分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</si>
  <si>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</si>
  <si>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</si>
  <si>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</si>
  <si>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</si>
  <si>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</si>
  <si>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</si>
  <si>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</si>
  <si>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</si>
  <si>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</si>
  <si>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</si>
  <si>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</si>
  <si>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</si>
  <si>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年計</t>
  </si>
  <si>
    <t>阿波尾鶏</t>
  </si>
  <si>
    <t>赤どり</t>
  </si>
  <si>
    <t>地養鳥</t>
  </si>
  <si>
    <t>ブロイラー（貞光分）</t>
  </si>
  <si>
    <t>ブロイラー(外部購入)</t>
  </si>
  <si>
    <t>合計</t>
  </si>
  <si>
    <t>入雛羽数（羽）　［参考実績］</t>
  </si>
  <si>
    <t>1～7月累計</t>
  </si>
  <si>
    <t>処理羽数（羽）　［自動計算］</t>
  </si>
  <si>
    <t>処理羽数（羽）　［参考実績］</t>
  </si>
  <si>
    <t>処理重量（kg）　［自動計算］</t>
  </si>
  <si>
    <t>処理重量（kg）　［参考実績］</t>
  </si>
  <si>
    <t>育成率　［入力］</t>
  </si>
  <si>
    <t>年間値</t>
  </si>
  <si>
    <t>全体値（加重）</t>
  </si>
  <si>
    <t>育成率　［参考実績］</t>
  </si>
  <si>
    <t>1～7月通期率</t>
  </si>
  <si>
    <t>平均体重（kg／羽）　［入力］</t>
  </si>
  <si>
    <t>平均体重（kg／羽）　［参考実績］</t>
  </si>
  <si>
    <t>1～7月通期体重</t>
  </si>
  <si>
    <t>計算：処理羽数＝入雛羽数×育成率（整数に四捨五入）。処理重量＝処理羽数×体重（小数第1位に四捨五入）。</t>
  </si>
  <si>
    <t>年間・全体の育成率＝処理羽数合計÷入雛羽数合計、平均体重＝処理重量合計÷処理羽数合計。分母0は空欄。</t>
  </si>
  <si>
    <t>計画を変更する場合は黄色セルだけを編集します。計画値は前年実績で自動上書きされません。シート保護は誤編集防止用（パスワードなし）です。</t>
  </si>
  <si>
    <t>収録データ：2026年1～7月、既存の廃棄控除後の集計ルールで計算。8～12月は未収録であり0ではありません。</t>
  </si>
  <si>
    <t>計画と比較する際は「処理羽数」「処理重量」で統一します。kgからtへ表示換算する場合は÷1,000します。</t>
  </si>
  <si>
    <t>計画原本の入力状況を確認します。入力欄はありません。年間値は12か月分の入力がそろうと表示します。</t>
  </si>
  <si>
    <t>前年比較は前年実績がある1～7月に期間をそろえます。2027年の実績や実績対比表は、このブックには含みません。</t>
  </si>
  <si>
    <t>1　入力チェック（1品種36セル・全体180セル）</t>
  </si>
  <si>
    <t>入力済み</t>
  </si>
  <si>
    <t>未入力</t>
  </si>
  <si>
    <t>状態</t>
  </si>
  <si>
    <t>全体</t>
  </si>
  <si>
    <t>2　年間計画の確認（入力がそろうまで空欄）</t>
  </si>
  <si>
    <t>入雛羽数</t>
  </si>
  <si>
    <t>処理羽数</t>
  </si>
  <si>
    <t>処理重量kg</t>
  </si>
  <si>
    <t>育成率</t>
  </si>
  <si>
    <t>平均体重kg</t>
  </si>
  <si>
    <t>3　前年実績との同期間比較（1～7月・差引＝計画－前年実績）</t>
  </si>
  <si>
    <t>計画入雛
1～7月</t>
  </si>
  <si>
    <t>前年入雛
1～7月</t>
  </si>
  <si>
    <t>差引（羽）</t>
  </si>
  <si>
    <t>増減率</t>
  </si>
  <si>
    <t>計画処理
1～7月</t>
  </si>
  <si>
    <t>前年処理
1～7月</t>
  </si>
  <si>
    <t>計画重量kg
1～7月</t>
  </si>
  <si>
    <t>前年重量kg
1～7月</t>
  </si>
  <si>
    <t>差引（kg）</t>
  </si>
  <si>
    <t>確認状態</t>
  </si>
  <si>
    <t>使い方：①計画入力の黄色セルを入力　②未入力数を確認　③年間計画と前年同期間との差を確認　④別名で保管。</t>
  </si>
  <si>
    <t>このExcelは計画入力用です。TSVの自動生成・実績対比表の作成プログラムやマクロは含みません。</t>
  </si>
  <si>
    <t>体重・育成率の全体値は単純平均ではありません。計画と実績の対象期間・単位をそろえて比較してください。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</si>
</sst>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"/>
    <numFmt numFmtId="166" formatCode="0.00%"/>
    <numFmt numFmtId="167" formatCode="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メイリオ"/>
      <family val="2"/>
    </font>
    <font>
      <b/>
      <sz val="10"/>
      <color rgb="FF17365D"/>
      <name val="メイリオ"/>
      <family val="2"/>
    </font>
    <font>
      <sz val="9"/>
      <color rgb="FF595959"/>
      <name val="メイリオ"/>
      <family val="2"/>
    </font>
    <font>
      <b/>
      <sz val="11"/>
      <color rgb="FFFFFFFF"/>
      <name val="メイリオ"/>
      <family val="2"/>
    </font>
    <font>
      <b/>
      <sz val="10"/>
      <color rgb="FFFFFFFF"/>
      <name val="メイリオ"/>
      <family val="2"/>
    </font>
    <font>
      <sz val="10"/>
      <color theme="1"/>
      <name val="メイリオ"/>
      <family val="2"/>
    </font>
    <font>
      <b/>
      <sz val="10"/>
      <color theme="1"/>
      <name val="メイリオ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5F4"/>
        <bgColor indexed="64"/>
      </patternFill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164" fontId="6" fillId="6" borderId="1" xfId="0" applyNumberFormat="1" applyFont="1" applyFill="1" applyBorder="1" applyAlignment="1" applyProtection="1">
      <alignment vertical="center"/>
      <protection locked="0"/>
    </xf>
    <xf numFmtId="164" fontId="7" fillId="7" borderId="2" xfId="0" applyNumberFormat="1" applyFont="1" applyFill="1" applyBorder="1" applyAlignment="1">
      <alignment vertical="center"/>
    </xf>
    <xf numFmtId="164" fontId="6" fillId="8" borderId="1" xfId="0" applyNumberFormat="1" applyFont="1" applyFill="1" applyBorder="1" applyAlignment="1">
      <alignment vertical="center"/>
    </xf>
    <xf numFmtId="165" fontId="6" fillId="8" borderId="1" xfId="0" applyNumberFormat="1" applyFont="1" applyFill="1" applyBorder="1" applyAlignment="1">
      <alignment vertical="center"/>
    </xf>
    <xf numFmtId="165" fontId="7" fillId="7" borderId="2" xfId="0" applyNumberFormat="1" applyFont="1" applyFill="1" applyBorder="1" applyAlignment="1">
      <alignment vertical="center"/>
    </xf>
    <xf numFmtId="166" fontId="6" fillId="6" borderId="1" xfId="0" applyNumberFormat="1" applyFont="1" applyFill="1" applyBorder="1" applyAlignment="1" applyProtection="1">
      <alignment vertical="center"/>
      <protection locked="0"/>
    </xf>
    <xf numFmtId="166" fontId="7" fillId="7" borderId="2" xfId="0" applyNumberFormat="1" applyFont="1" applyFill="1" applyBorder="1" applyAlignment="1">
      <alignment vertical="center"/>
    </xf>
    <xf numFmtId="167" fontId="6" fillId="6" borderId="1" xfId="0" applyNumberFormat="1" applyFont="1" applyFill="1" applyBorder="1" applyAlignment="1" applyProtection="1">
      <alignment vertical="center"/>
      <protection locked="0"/>
    </xf>
    <xf numFmtId="167" fontId="7" fillId="7" borderId="2" xfId="0" applyNumberFormat="1" applyFont="1" applyFill="1" applyBorder="1" applyAlignment="1">
      <alignment vertical="center"/>
    </xf>
    <xf numFmtId="166" fontId="6" fillId="8" borderId="1" xfId="0" applyNumberFormat="1" applyFont="1" applyFill="1" applyBorder="1" applyAlignment="1">
      <alignment vertical="center"/>
    </xf>
    <xf numFmtId="167" fontId="6" fillId="8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O62"/>
  <sheetViews>
    <sheetView showGridLines="0"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23" customHeight="1"/>
  <cols>
    <col min="1" max="1" width="2.7109375" customWidth="1"/>
    <col min="2" max="2" width="29.7109375" customWidth="1"/>
    <col min="3" max="14" width="12.28515625" customWidth="1"/>
    <col min="15" max="15" width="15.7109375" customWidth="1"/>
  </cols>
  <sheetData>
    <row r="1" spans="2:15" ht="34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23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23" customHeight="1">
      <c r="B3" s="3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23" customHeight="1"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 ht="23" customHeight="1"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ht="23" customHeight="1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  <c r="M7" s="5" t="s">
        <v>22</v>
      </c>
      <c r="N7" s="5" t="s">
        <v>23</v>
      </c>
      <c r="O7" s="5" t="s">
        <v>24</v>
      </c>
    </row>
    <row r="8" spans="2:15" ht="23" customHeight="1">
      <c r="B8" s="6" t="s">
        <v>25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f>IF(COUNT(C8:N8)&lt;12,"",SUM(C8:N8))</f>
        <v/>
      </c>
    </row>
    <row r="9" spans="2:15" ht="23" customHeight="1">
      <c r="B9" s="6" t="s">
        <v>26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>
        <f>IF(COUNT(C9:N9)&lt;12,"",SUM(C9:N9))</f>
        <v/>
      </c>
    </row>
    <row r="10" spans="2:15" ht="23" customHeight="1">
      <c r="B10" s="6" t="s">
        <v>27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>
        <f>IF(COUNT(C10:N10)&lt;12,"",SUM(C10:N10))</f>
        <v/>
      </c>
    </row>
    <row r="11" spans="2:15" ht="23" customHeight="1">
      <c r="B11" s="6" t="s">
        <v>28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>
        <f>IF(COUNT(C11:N11)&lt;12,"",SUM(C11:N11))</f>
        <v/>
      </c>
    </row>
    <row r="12" spans="2:15" ht="23" customHeight="1">
      <c r="B12" s="6" t="s">
        <v>29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>
        <f>IF(COUNT(C12:N12)&lt;12,"",SUM(C12:N12))</f>
        <v/>
      </c>
    </row>
    <row r="13" spans="2:15" ht="23" customHeight="1">
      <c r="B13" s="6" t="s">
        <v>30</v>
      </c>
      <c r="C13" s="8">
        <f>IF(COUNT(C8:C12)&lt;5,"",SUM(C8:C12))</f>
        <v/>
      </c>
      <c r="D13" s="8">
        <f>IF(COUNT(D8:D12)&lt;5,"",SUM(D8:D12))</f>
        <v/>
      </c>
      <c r="E13" s="8">
        <f>IF(COUNT(E8:E12)&lt;5,"",SUM(E8:E12))</f>
        <v/>
      </c>
      <c r="F13" s="8">
        <f>IF(COUNT(F8:F12)&lt;5,"",SUM(F8:F12))</f>
        <v/>
      </c>
      <c r="G13" s="8">
        <f>IF(COUNT(G8:G12)&lt;5,"",SUM(G8:G12))</f>
        <v/>
      </c>
      <c r="H13" s="8">
        <f>IF(COUNT(H8:H12)&lt;5,"",SUM(H8:H12))</f>
        <v/>
      </c>
      <c r="I13" s="8">
        <f>IF(COUNT(I8:I12)&lt;5,"",SUM(I8:I12))</f>
        <v/>
      </c>
      <c r="J13" s="8">
        <f>IF(COUNT(J8:J12)&lt;5,"",SUM(J8:J12))</f>
        <v/>
      </c>
      <c r="K13" s="8">
        <f>IF(COUNT(K8:K12)&lt;5,"",SUM(K8:K12))</f>
        <v/>
      </c>
      <c r="L13" s="8">
        <f>IF(COUNT(L8:L12)&lt;5,"",SUM(L8:L12))</f>
        <v/>
      </c>
      <c r="M13" s="8">
        <f>IF(COUNT(M8:M12)&lt;5,"",SUM(M8:M12))</f>
        <v/>
      </c>
      <c r="N13" s="8">
        <f>IF(COUNT(N8:N12)&lt;5,"",SUM(N8:N12))</f>
        <v/>
      </c>
      <c r="O13" s="8">
        <f>IF(COUNT(O8:O12)&lt;5,"",SUM(O8:O12))</f>
        <v/>
      </c>
    </row>
    <row r="17" spans="2:15" ht="23" customHeight="1">
      <c r="B17" s="4" t="s">
        <v>33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ht="23" customHeight="1"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17</v>
      </c>
      <c r="I18" s="5" t="s">
        <v>18</v>
      </c>
      <c r="J18" s="5" t="s">
        <v>19</v>
      </c>
      <c r="K18" s="5" t="s">
        <v>20</v>
      </c>
      <c r="L18" s="5" t="s">
        <v>21</v>
      </c>
      <c r="M18" s="5" t="s">
        <v>22</v>
      </c>
      <c r="N18" s="5" t="s">
        <v>23</v>
      </c>
      <c r="O18" s="5" t="s">
        <v>24</v>
      </c>
    </row>
    <row r="19" spans="2:15" ht="23" customHeight="1">
      <c r="B19" s="6" t="s">
        <v>25</v>
      </c>
      <c r="C19" s="9">
        <f>IF(COUNT(C8,C41)&lt;2,"",ROUND(C8*C41,0))</f>
        <v/>
      </c>
      <c r="D19" s="9">
        <f>IF(COUNT(D8,D41)&lt;2,"",ROUND(D8*D41,0))</f>
        <v/>
      </c>
      <c r="E19" s="9">
        <f>IF(COUNT(E8,E41)&lt;2,"",ROUND(E8*E41,0))</f>
        <v/>
      </c>
      <c r="F19" s="9">
        <f>IF(COUNT(F8,F41)&lt;2,"",ROUND(F8*F41,0))</f>
        <v/>
      </c>
      <c r="G19" s="9">
        <f>IF(COUNT(G8,G41)&lt;2,"",ROUND(G8*G41,0))</f>
        <v/>
      </c>
      <c r="H19" s="9">
        <f>IF(COUNT(H8,H41)&lt;2,"",ROUND(H8*H41,0))</f>
        <v/>
      </c>
      <c r="I19" s="9">
        <f>IF(COUNT(I8,I41)&lt;2,"",ROUND(I8*I41,0))</f>
        <v/>
      </c>
      <c r="J19" s="9">
        <f>IF(COUNT(J8,J41)&lt;2,"",ROUND(J8*J41,0))</f>
        <v/>
      </c>
      <c r="K19" s="9">
        <f>IF(COUNT(K8,K41)&lt;2,"",ROUND(K8*K41,0))</f>
        <v/>
      </c>
      <c r="L19" s="9">
        <f>IF(COUNT(L8,L41)&lt;2,"",ROUND(L8*L41,0))</f>
        <v/>
      </c>
      <c r="M19" s="9">
        <f>IF(COUNT(M8,M41)&lt;2,"",ROUND(M8*M41,0))</f>
        <v/>
      </c>
      <c r="N19" s="9">
        <f>IF(COUNT(N8,N41)&lt;2,"",ROUND(N8*N41,0))</f>
        <v/>
      </c>
      <c r="O19" s="8">
        <f>IF(COUNT(C19:N19)&lt;12,"",SUM(C19:N19))</f>
        <v/>
      </c>
    </row>
    <row r="20" spans="2:15" ht="23" customHeight="1">
      <c r="B20" s="6" t="s">
        <v>26</v>
      </c>
      <c r="C20" s="9">
        <f>IF(COUNT(C9,C42)&lt;2,"",ROUND(C9*C42,0))</f>
        <v/>
      </c>
      <c r="D20" s="9">
        <f>IF(COUNT(D9,D42)&lt;2,"",ROUND(D9*D42,0))</f>
        <v/>
      </c>
      <c r="E20" s="9">
        <f>IF(COUNT(E9,E42)&lt;2,"",ROUND(E9*E42,0))</f>
        <v/>
      </c>
      <c r="F20" s="9">
        <f>IF(COUNT(F9,F42)&lt;2,"",ROUND(F9*F42,0))</f>
        <v/>
      </c>
      <c r="G20" s="9">
        <f>IF(COUNT(G9,G42)&lt;2,"",ROUND(G9*G42,0))</f>
        <v/>
      </c>
      <c r="H20" s="9">
        <f>IF(COUNT(H9,H42)&lt;2,"",ROUND(H9*H42,0))</f>
        <v/>
      </c>
      <c r="I20" s="9">
        <f>IF(COUNT(I9,I42)&lt;2,"",ROUND(I9*I42,0))</f>
        <v/>
      </c>
      <c r="J20" s="9">
        <f>IF(COUNT(J9,J42)&lt;2,"",ROUND(J9*J42,0))</f>
        <v/>
      </c>
      <c r="K20" s="9">
        <f>IF(COUNT(K9,K42)&lt;2,"",ROUND(K9*K42,0))</f>
        <v/>
      </c>
      <c r="L20" s="9">
        <f>IF(COUNT(L9,L42)&lt;2,"",ROUND(L9*L42,0))</f>
        <v/>
      </c>
      <c r="M20" s="9">
        <f>IF(COUNT(M9,M42)&lt;2,"",ROUND(M9*M42,0))</f>
        <v/>
      </c>
      <c r="N20" s="9">
        <f>IF(COUNT(N9,N42)&lt;2,"",ROUND(N9*N42,0))</f>
        <v/>
      </c>
      <c r="O20" s="8">
        <f>IF(COUNT(C20:N20)&lt;12,"",SUM(C20:N20))</f>
        <v/>
      </c>
    </row>
    <row r="21" spans="2:15" ht="23" customHeight="1">
      <c r="B21" s="6" t="s">
        <v>27</v>
      </c>
      <c r="C21" s="9">
        <f>IF(COUNT(C10,C43)&lt;2,"",ROUND(C10*C43,0))</f>
        <v/>
      </c>
      <c r="D21" s="9">
        <f>IF(COUNT(D10,D43)&lt;2,"",ROUND(D10*D43,0))</f>
        <v/>
      </c>
      <c r="E21" s="9">
        <f>IF(COUNT(E10,E43)&lt;2,"",ROUND(E10*E43,0))</f>
        <v/>
      </c>
      <c r="F21" s="9">
        <f>IF(COUNT(F10,F43)&lt;2,"",ROUND(F10*F43,0))</f>
        <v/>
      </c>
      <c r="G21" s="9">
        <f>IF(COUNT(G10,G43)&lt;2,"",ROUND(G10*G43,0))</f>
        <v/>
      </c>
      <c r="H21" s="9">
        <f>IF(COUNT(H10,H43)&lt;2,"",ROUND(H10*H43,0))</f>
        <v/>
      </c>
      <c r="I21" s="9">
        <f>IF(COUNT(I10,I43)&lt;2,"",ROUND(I10*I43,0))</f>
        <v/>
      </c>
      <c r="J21" s="9">
        <f>IF(COUNT(J10,J43)&lt;2,"",ROUND(J10*J43,0))</f>
        <v/>
      </c>
      <c r="K21" s="9">
        <f>IF(COUNT(K10,K43)&lt;2,"",ROUND(K10*K43,0))</f>
        <v/>
      </c>
      <c r="L21" s="9">
        <f>IF(COUNT(L10,L43)&lt;2,"",ROUND(L10*L43,0))</f>
        <v/>
      </c>
      <c r="M21" s="9">
        <f>IF(COUNT(M10,M43)&lt;2,"",ROUND(M10*M43,0))</f>
        <v/>
      </c>
      <c r="N21" s="9">
        <f>IF(COUNT(N10,N43)&lt;2,"",ROUND(N10*N43,0))</f>
        <v/>
      </c>
      <c r="O21" s="8">
        <f>IF(COUNT(C21:N21)&lt;12,"",SUM(C21:N21))</f>
        <v/>
      </c>
    </row>
    <row r="22" spans="2:15" ht="23" customHeight="1">
      <c r="B22" s="6" t="s">
        <v>28</v>
      </c>
      <c r="C22" s="9">
        <f>IF(COUNT(C11,C44)&lt;2,"",ROUND(C11*C44,0))</f>
        <v/>
      </c>
      <c r="D22" s="9">
        <f>IF(COUNT(D11,D44)&lt;2,"",ROUND(D11*D44,0))</f>
        <v/>
      </c>
      <c r="E22" s="9">
        <f>IF(COUNT(E11,E44)&lt;2,"",ROUND(E11*E44,0))</f>
        <v/>
      </c>
      <c r="F22" s="9">
        <f>IF(COUNT(F11,F44)&lt;2,"",ROUND(F11*F44,0))</f>
        <v/>
      </c>
      <c r="G22" s="9">
        <f>IF(COUNT(G11,G44)&lt;2,"",ROUND(G11*G44,0))</f>
        <v/>
      </c>
      <c r="H22" s="9">
        <f>IF(COUNT(H11,H44)&lt;2,"",ROUND(H11*H44,0))</f>
        <v/>
      </c>
      <c r="I22" s="9">
        <f>IF(COUNT(I11,I44)&lt;2,"",ROUND(I11*I44,0))</f>
        <v/>
      </c>
      <c r="J22" s="9">
        <f>IF(COUNT(J11,J44)&lt;2,"",ROUND(J11*J44,0))</f>
        <v/>
      </c>
      <c r="K22" s="9">
        <f>IF(COUNT(K11,K44)&lt;2,"",ROUND(K11*K44,0))</f>
        <v/>
      </c>
      <c r="L22" s="9">
        <f>IF(COUNT(L11,L44)&lt;2,"",ROUND(L11*L44,0))</f>
        <v/>
      </c>
      <c r="M22" s="9">
        <f>IF(COUNT(M11,M44)&lt;2,"",ROUND(M11*M44,0))</f>
        <v/>
      </c>
      <c r="N22" s="9">
        <f>IF(COUNT(N11,N44)&lt;2,"",ROUND(N11*N44,0))</f>
        <v/>
      </c>
      <c r="O22" s="8">
        <f>IF(COUNT(C22:N22)&lt;12,"",SUM(C22:N22))</f>
        <v/>
      </c>
    </row>
    <row r="23" spans="2:15" ht="23" customHeight="1">
      <c r="B23" s="6" t="s">
        <v>29</v>
      </c>
      <c r="C23" s="9">
        <f>IF(COUNT(C12,C45)&lt;2,"",ROUND(C12*C45,0))</f>
        <v/>
      </c>
      <c r="D23" s="9">
        <f>IF(COUNT(D12,D45)&lt;2,"",ROUND(D12*D45,0))</f>
        <v/>
      </c>
      <c r="E23" s="9">
        <f>IF(COUNT(E12,E45)&lt;2,"",ROUND(E12*E45,0))</f>
        <v/>
      </c>
      <c r="F23" s="9">
        <f>IF(COUNT(F12,F45)&lt;2,"",ROUND(F12*F45,0))</f>
        <v/>
      </c>
      <c r="G23" s="9">
        <f>IF(COUNT(G12,G45)&lt;2,"",ROUND(G12*G45,0))</f>
        <v/>
      </c>
      <c r="H23" s="9">
        <f>IF(COUNT(H12,H45)&lt;2,"",ROUND(H12*H45,0))</f>
        <v/>
      </c>
      <c r="I23" s="9">
        <f>IF(COUNT(I12,I45)&lt;2,"",ROUND(I12*I45,0))</f>
        <v/>
      </c>
      <c r="J23" s="9">
        <f>IF(COUNT(J12,J45)&lt;2,"",ROUND(J12*J45,0))</f>
        <v/>
      </c>
      <c r="K23" s="9">
        <f>IF(COUNT(K12,K45)&lt;2,"",ROUND(K12*K45,0))</f>
        <v/>
      </c>
      <c r="L23" s="9">
        <f>IF(COUNT(L12,L45)&lt;2,"",ROUND(L12*L45,0))</f>
        <v/>
      </c>
      <c r="M23" s="9">
        <f>IF(COUNT(M12,M45)&lt;2,"",ROUND(M12*M45,0))</f>
        <v/>
      </c>
      <c r="N23" s="9">
        <f>IF(COUNT(N12,N45)&lt;2,"",ROUND(N12*N45,0))</f>
        <v/>
      </c>
      <c r="O23" s="8">
        <f>IF(COUNT(C23:N23)&lt;12,"",SUM(C23:N23))</f>
        <v/>
      </c>
    </row>
    <row r="24" spans="2:15" ht="23" customHeight="1">
      <c r="B24" s="6" t="s">
        <v>30</v>
      </c>
      <c r="C24" s="8">
        <f>IF(COUNT(C19:C23)&lt;5,"",SUM(C19:C23))</f>
        <v/>
      </c>
      <c r="D24" s="8">
        <f>IF(COUNT(D19:D23)&lt;5,"",SUM(D19:D23))</f>
        <v/>
      </c>
      <c r="E24" s="8">
        <f>IF(COUNT(E19:E23)&lt;5,"",SUM(E19:E23))</f>
        <v/>
      </c>
      <c r="F24" s="8">
        <f>IF(COUNT(F19:F23)&lt;5,"",SUM(F19:F23))</f>
        <v/>
      </c>
      <c r="G24" s="8">
        <f>IF(COUNT(G19:G23)&lt;5,"",SUM(G19:G23))</f>
        <v/>
      </c>
      <c r="H24" s="8">
        <f>IF(COUNT(H19:H23)&lt;5,"",SUM(H19:H23))</f>
        <v/>
      </c>
      <c r="I24" s="8">
        <f>IF(COUNT(I19:I23)&lt;5,"",SUM(I19:I23))</f>
        <v/>
      </c>
      <c r="J24" s="8">
        <f>IF(COUNT(J19:J23)&lt;5,"",SUM(J19:J23))</f>
        <v/>
      </c>
      <c r="K24" s="8">
        <f>IF(COUNT(K19:K23)&lt;5,"",SUM(K19:K23))</f>
        <v/>
      </c>
      <c r="L24" s="8">
        <f>IF(COUNT(L19:L23)&lt;5,"",SUM(L19:L23))</f>
        <v/>
      </c>
      <c r="M24" s="8">
        <f>IF(COUNT(M19:M23)&lt;5,"",SUM(M19:M23))</f>
        <v/>
      </c>
      <c r="N24" s="8">
        <f>IF(COUNT(N19:N23)&lt;5,"",SUM(N19:N23))</f>
        <v/>
      </c>
      <c r="O24" s="8">
        <f>IF(COUNT(O19:O23)&lt;5,"",SUM(O19:O23))</f>
        <v/>
      </c>
    </row>
    <row r="28" spans="2:15" ht="23" customHeight="1">
      <c r="B28" s="4" t="s">
        <v>35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ht="23" customHeight="1">
      <c r="B29" s="5" t="s">
        <v>11</v>
      </c>
      <c r="C29" s="5" t="s">
        <v>12</v>
      </c>
      <c r="D29" s="5" t="s">
        <v>13</v>
      </c>
      <c r="E29" s="5" t="s">
        <v>14</v>
      </c>
      <c r="F29" s="5" t="s">
        <v>15</v>
      </c>
      <c r="G29" s="5" t="s">
        <v>16</v>
      </c>
      <c r="H29" s="5" t="s">
        <v>17</v>
      </c>
      <c r="I29" s="5" t="s">
        <v>18</v>
      </c>
      <c r="J29" s="5" t="s">
        <v>19</v>
      </c>
      <c r="K29" s="5" t="s">
        <v>20</v>
      </c>
      <c r="L29" s="5" t="s">
        <v>21</v>
      </c>
      <c r="M29" s="5" t="s">
        <v>22</v>
      </c>
      <c r="N29" s="5" t="s">
        <v>23</v>
      </c>
      <c r="O29" s="5" t="s">
        <v>24</v>
      </c>
    </row>
    <row r="30" spans="2:15" ht="23" customHeight="1">
      <c r="B30" s="6" t="s">
        <v>25</v>
      </c>
      <c r="C30" s="10">
        <f>IF(COUNT(C19,C52)&lt;2,"",ROUND(C19*C52,1))</f>
        <v/>
      </c>
      <c r="D30" s="10">
        <f>IF(COUNT(D19,D52)&lt;2,"",ROUND(D19*D52,1))</f>
        <v/>
      </c>
      <c r="E30" s="10">
        <f>IF(COUNT(E19,E52)&lt;2,"",ROUND(E19*E52,1))</f>
        <v/>
      </c>
      <c r="F30" s="10">
        <f>IF(COUNT(F19,F52)&lt;2,"",ROUND(F19*F52,1))</f>
        <v/>
      </c>
      <c r="G30" s="10">
        <f>IF(COUNT(G19,G52)&lt;2,"",ROUND(G19*G52,1))</f>
        <v/>
      </c>
      <c r="H30" s="10">
        <f>IF(COUNT(H19,H52)&lt;2,"",ROUND(H19*H52,1))</f>
        <v/>
      </c>
      <c r="I30" s="10">
        <f>IF(COUNT(I19,I52)&lt;2,"",ROUND(I19*I52,1))</f>
        <v/>
      </c>
      <c r="J30" s="10">
        <f>IF(COUNT(J19,J52)&lt;2,"",ROUND(J19*J52,1))</f>
        <v/>
      </c>
      <c r="K30" s="10">
        <f>IF(COUNT(K19,K52)&lt;2,"",ROUND(K19*K52,1))</f>
        <v/>
      </c>
      <c r="L30" s="10">
        <f>IF(COUNT(L19,L52)&lt;2,"",ROUND(L19*L52,1))</f>
        <v/>
      </c>
      <c r="M30" s="10">
        <f>IF(COUNT(M19,M52)&lt;2,"",ROUND(M19*M52,1))</f>
        <v/>
      </c>
      <c r="N30" s="10">
        <f>IF(COUNT(N19,N52)&lt;2,"",ROUND(N19*N52,1))</f>
        <v/>
      </c>
      <c r="O30" s="11">
        <f>IF(COUNT(C30:N30)&lt;12,"",SUM(C30:N30))</f>
        <v/>
      </c>
    </row>
    <row r="31" spans="2:15" ht="23" customHeight="1">
      <c r="B31" s="6" t="s">
        <v>26</v>
      </c>
      <c r="C31" s="10">
        <f>IF(COUNT(C20,C53)&lt;2,"",ROUND(C20*C53,1))</f>
        <v/>
      </c>
      <c r="D31" s="10">
        <f>IF(COUNT(D20,D53)&lt;2,"",ROUND(D20*D53,1))</f>
        <v/>
      </c>
      <c r="E31" s="10">
        <f>IF(COUNT(E20,E53)&lt;2,"",ROUND(E20*E53,1))</f>
        <v/>
      </c>
      <c r="F31" s="10">
        <f>IF(COUNT(F20,F53)&lt;2,"",ROUND(F20*F53,1))</f>
        <v/>
      </c>
      <c r="G31" s="10">
        <f>IF(COUNT(G20,G53)&lt;2,"",ROUND(G20*G53,1))</f>
        <v/>
      </c>
      <c r="H31" s="10">
        <f>IF(COUNT(H20,H53)&lt;2,"",ROUND(H20*H53,1))</f>
        <v/>
      </c>
      <c r="I31" s="10">
        <f>IF(COUNT(I20,I53)&lt;2,"",ROUND(I20*I53,1))</f>
        <v/>
      </c>
      <c r="J31" s="10">
        <f>IF(COUNT(J20,J53)&lt;2,"",ROUND(J20*J53,1))</f>
        <v/>
      </c>
      <c r="K31" s="10">
        <f>IF(COUNT(K20,K53)&lt;2,"",ROUND(K20*K53,1))</f>
        <v/>
      </c>
      <c r="L31" s="10">
        <f>IF(COUNT(L20,L53)&lt;2,"",ROUND(L20*L53,1))</f>
        <v/>
      </c>
      <c r="M31" s="10">
        <f>IF(COUNT(M20,M53)&lt;2,"",ROUND(M20*M53,1))</f>
        <v/>
      </c>
      <c r="N31" s="10">
        <f>IF(COUNT(N20,N53)&lt;2,"",ROUND(N20*N53,1))</f>
        <v/>
      </c>
      <c r="O31" s="11">
        <f>IF(COUNT(C31:N31)&lt;12,"",SUM(C31:N31))</f>
        <v/>
      </c>
    </row>
    <row r="32" spans="2:15" ht="23" customHeight="1">
      <c r="B32" s="6" t="s">
        <v>27</v>
      </c>
      <c r="C32" s="10">
        <f>IF(COUNT(C21,C54)&lt;2,"",ROUND(C21*C54,1))</f>
        <v/>
      </c>
      <c r="D32" s="10">
        <f>IF(COUNT(D21,D54)&lt;2,"",ROUND(D21*D54,1))</f>
        <v/>
      </c>
      <c r="E32" s="10">
        <f>IF(COUNT(E21,E54)&lt;2,"",ROUND(E21*E54,1))</f>
        <v/>
      </c>
      <c r="F32" s="10">
        <f>IF(COUNT(F21,F54)&lt;2,"",ROUND(F21*F54,1))</f>
        <v/>
      </c>
      <c r="G32" s="10">
        <f>IF(COUNT(G21,G54)&lt;2,"",ROUND(G21*G54,1))</f>
        <v/>
      </c>
      <c r="H32" s="10">
        <f>IF(COUNT(H21,H54)&lt;2,"",ROUND(H21*H54,1))</f>
        <v/>
      </c>
      <c r="I32" s="10">
        <f>IF(COUNT(I21,I54)&lt;2,"",ROUND(I21*I54,1))</f>
        <v/>
      </c>
      <c r="J32" s="10">
        <f>IF(COUNT(J21,J54)&lt;2,"",ROUND(J21*J54,1))</f>
        <v/>
      </c>
      <c r="K32" s="10">
        <f>IF(COUNT(K21,K54)&lt;2,"",ROUND(K21*K54,1))</f>
        <v/>
      </c>
      <c r="L32" s="10">
        <f>IF(COUNT(L21,L54)&lt;2,"",ROUND(L21*L54,1))</f>
        <v/>
      </c>
      <c r="M32" s="10">
        <f>IF(COUNT(M21,M54)&lt;2,"",ROUND(M21*M54,1))</f>
        <v/>
      </c>
      <c r="N32" s="10">
        <f>IF(COUNT(N21,N54)&lt;2,"",ROUND(N21*N54,1))</f>
        <v/>
      </c>
      <c r="O32" s="11">
        <f>IF(COUNT(C32:N32)&lt;12,"",SUM(C32:N32))</f>
        <v/>
      </c>
    </row>
    <row r="33" spans="2:15" ht="23" customHeight="1">
      <c r="B33" s="6" t="s">
        <v>28</v>
      </c>
      <c r="C33" s="10">
        <f>IF(COUNT(C22,C55)&lt;2,"",ROUND(C22*C55,1))</f>
        <v/>
      </c>
      <c r="D33" s="10">
        <f>IF(COUNT(D22,D55)&lt;2,"",ROUND(D22*D55,1))</f>
        <v/>
      </c>
      <c r="E33" s="10">
        <f>IF(COUNT(E22,E55)&lt;2,"",ROUND(E22*E55,1))</f>
        <v/>
      </c>
      <c r="F33" s="10">
        <f>IF(COUNT(F22,F55)&lt;2,"",ROUND(F22*F55,1))</f>
        <v/>
      </c>
      <c r="G33" s="10">
        <f>IF(COUNT(G22,G55)&lt;2,"",ROUND(G22*G55,1))</f>
        <v/>
      </c>
      <c r="H33" s="10">
        <f>IF(COUNT(H22,H55)&lt;2,"",ROUND(H22*H55,1))</f>
        <v/>
      </c>
      <c r="I33" s="10">
        <f>IF(COUNT(I22,I55)&lt;2,"",ROUND(I22*I55,1))</f>
        <v/>
      </c>
      <c r="J33" s="10">
        <f>IF(COUNT(J22,J55)&lt;2,"",ROUND(J22*J55,1))</f>
        <v/>
      </c>
      <c r="K33" s="10">
        <f>IF(COUNT(K22,K55)&lt;2,"",ROUND(K22*K55,1))</f>
        <v/>
      </c>
      <c r="L33" s="10">
        <f>IF(COUNT(L22,L55)&lt;2,"",ROUND(L22*L55,1))</f>
        <v/>
      </c>
      <c r="M33" s="10">
        <f>IF(COUNT(M22,M55)&lt;2,"",ROUND(M22*M55,1))</f>
        <v/>
      </c>
      <c r="N33" s="10">
        <f>IF(COUNT(N22,N55)&lt;2,"",ROUND(N22*N55,1))</f>
        <v/>
      </c>
      <c r="O33" s="11">
        <f>IF(COUNT(C33:N33)&lt;12,"",SUM(C33:N33))</f>
        <v/>
      </c>
    </row>
    <row r="34" spans="2:15" ht="23" customHeight="1">
      <c r="B34" s="6" t="s">
        <v>29</v>
      </c>
      <c r="C34" s="10">
        <f>IF(COUNT(C23,C56)&lt;2,"",ROUND(C23*C56,1))</f>
        <v/>
      </c>
      <c r="D34" s="10">
        <f>IF(COUNT(D23,D56)&lt;2,"",ROUND(D23*D56,1))</f>
        <v/>
      </c>
      <c r="E34" s="10">
        <f>IF(COUNT(E23,E56)&lt;2,"",ROUND(E23*E56,1))</f>
        <v/>
      </c>
      <c r="F34" s="10">
        <f>IF(COUNT(F23,F56)&lt;2,"",ROUND(F23*F56,1))</f>
        <v/>
      </c>
      <c r="G34" s="10">
        <f>IF(COUNT(G23,G56)&lt;2,"",ROUND(G23*G56,1))</f>
        <v/>
      </c>
      <c r="H34" s="10">
        <f>IF(COUNT(H23,H56)&lt;2,"",ROUND(H23*H56,1))</f>
        <v/>
      </c>
      <c r="I34" s="10">
        <f>IF(COUNT(I23,I56)&lt;2,"",ROUND(I23*I56,1))</f>
        <v/>
      </c>
      <c r="J34" s="10">
        <f>IF(COUNT(J23,J56)&lt;2,"",ROUND(J23*J56,1))</f>
        <v/>
      </c>
      <c r="K34" s="10">
        <f>IF(COUNT(K23,K56)&lt;2,"",ROUND(K23*K56,1))</f>
        <v/>
      </c>
      <c r="L34" s="10">
        <f>IF(COUNT(L23,L56)&lt;2,"",ROUND(L23*L56,1))</f>
        <v/>
      </c>
      <c r="M34" s="10">
        <f>IF(COUNT(M23,M56)&lt;2,"",ROUND(M23*M56,1))</f>
        <v/>
      </c>
      <c r="N34" s="10">
        <f>IF(COUNT(N23,N56)&lt;2,"",ROUND(N23*N56,1))</f>
        <v/>
      </c>
      <c r="O34" s="11">
        <f>IF(COUNT(C34:N34)&lt;12,"",SUM(C34:N34))</f>
        <v/>
      </c>
    </row>
    <row r="35" spans="2:15" ht="23" customHeight="1">
      <c r="B35" s="6" t="s">
        <v>30</v>
      </c>
      <c r="C35" s="11">
        <f>IF(COUNT(C30:C34)&lt;5,"",SUM(C30:C34))</f>
        <v/>
      </c>
      <c r="D35" s="11">
        <f>IF(COUNT(D30:D34)&lt;5,"",SUM(D30:D34))</f>
        <v/>
      </c>
      <c r="E35" s="11">
        <f>IF(COUNT(E30:E34)&lt;5,"",SUM(E30:E34))</f>
        <v/>
      </c>
      <c r="F35" s="11">
        <f>IF(COUNT(F30:F34)&lt;5,"",SUM(F30:F34))</f>
        <v/>
      </c>
      <c r="G35" s="11">
        <f>IF(COUNT(G30:G34)&lt;5,"",SUM(G30:G34))</f>
        <v/>
      </c>
      <c r="H35" s="11">
        <f>IF(COUNT(H30:H34)&lt;5,"",SUM(H30:H34))</f>
        <v/>
      </c>
      <c r="I35" s="11">
        <f>IF(COUNT(I30:I34)&lt;5,"",SUM(I30:I34))</f>
        <v/>
      </c>
      <c r="J35" s="11">
        <f>IF(COUNT(J30:J34)&lt;5,"",SUM(J30:J34))</f>
        <v/>
      </c>
      <c r="K35" s="11">
        <f>IF(COUNT(K30:K34)&lt;5,"",SUM(K30:K34))</f>
        <v/>
      </c>
      <c r="L35" s="11">
        <f>IF(COUNT(L30:L34)&lt;5,"",SUM(L30:L34))</f>
        <v/>
      </c>
      <c r="M35" s="11">
        <f>IF(COUNT(M30:M34)&lt;5,"",SUM(M30:M34))</f>
        <v/>
      </c>
      <c r="N35" s="11">
        <f>IF(COUNT(N30:N34)&lt;5,"",SUM(N30:N34))</f>
        <v/>
      </c>
      <c r="O35" s="11">
        <f>IF(COUNT(O30:O34)&lt;5,"",SUM(O30:O34))</f>
        <v/>
      </c>
    </row>
    <row r="39" spans="2:15" ht="23" customHeight="1">
      <c r="B39" s="4" t="s">
        <v>37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ht="23" customHeight="1">
      <c r="B40" s="5" t="s">
        <v>11</v>
      </c>
      <c r="C40" s="5" t="s">
        <v>12</v>
      </c>
      <c r="D40" s="5" t="s">
        <v>13</v>
      </c>
      <c r="E40" s="5" t="s">
        <v>14</v>
      </c>
      <c r="F40" s="5" t="s">
        <v>15</v>
      </c>
      <c r="G40" s="5" t="s">
        <v>16</v>
      </c>
      <c r="H40" s="5" t="s">
        <v>17</v>
      </c>
      <c r="I40" s="5" t="s">
        <v>18</v>
      </c>
      <c r="J40" s="5" t="s">
        <v>19</v>
      </c>
      <c r="K40" s="5" t="s">
        <v>20</v>
      </c>
      <c r="L40" s="5" t="s">
        <v>21</v>
      </c>
      <c r="M40" s="5" t="s">
        <v>22</v>
      </c>
      <c r="N40" s="5" t="s">
        <v>23</v>
      </c>
      <c r="O40" s="5" t="s">
        <v>38</v>
      </c>
    </row>
    <row r="41" spans="2:15" ht="23" customHeight="1">
      <c r="B41" s="6" t="s">
        <v>25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>
        <f>IF(COUNT(O19,O8)&lt;2,"",IF(O8=0,"",O19/O8))</f>
        <v/>
      </c>
    </row>
    <row r="42" spans="2:15" ht="23" customHeight="1">
      <c r="B42" s="6" t="s">
        <v>26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>IF(COUNT(O20,O9)&lt;2,"",IF(O9=0,"",O20/O9))</f>
        <v/>
      </c>
    </row>
    <row r="43" spans="2:15" ht="23" customHeight="1">
      <c r="B43" s="6" t="s">
        <v>27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>IF(COUNT(O21,O10)&lt;2,"",IF(O10=0,"",O21/O10))</f>
        <v/>
      </c>
    </row>
    <row r="44" spans="2:15" ht="23" customHeight="1">
      <c r="B44" s="6" t="s">
        <v>28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>IF(COUNT(O22,O11)&lt;2,"",IF(O11=0,"",O22/O11))</f>
        <v/>
      </c>
    </row>
    <row r="45" spans="2:15" ht="23" customHeight="1">
      <c r="B45" s="6" t="s">
        <v>29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>IF(COUNT(O23,O12)&lt;2,"",IF(O12=0,"",O23/O12))</f>
        <v/>
      </c>
    </row>
    <row r="46" spans="2:15" ht="23" customHeight="1">
      <c r="B46" s="6" t="s">
        <v>39</v>
      </c>
      <c r="C46" s="13">
        <f>IF(COUNT(C24,C13)&lt;2,"",IF(C13=0,"",C24/C13))</f>
        <v/>
      </c>
      <c r="D46" s="13">
        <f>IF(COUNT(D24,D13)&lt;2,"",IF(D13=0,"",D24/D13))</f>
        <v/>
      </c>
      <c r="E46" s="13">
        <f>IF(COUNT(E24,E13)&lt;2,"",IF(E13=0,"",E24/E13))</f>
        <v/>
      </c>
      <c r="F46" s="13">
        <f>IF(COUNT(F24,F13)&lt;2,"",IF(F13=0,"",F24/F13))</f>
        <v/>
      </c>
      <c r="G46" s="13">
        <f>IF(COUNT(G24,G13)&lt;2,"",IF(G13=0,"",G24/G13))</f>
        <v/>
      </c>
      <c r="H46" s="13">
        <f>IF(COUNT(H24,H13)&lt;2,"",IF(H13=0,"",H24/H13))</f>
        <v/>
      </c>
      <c r="I46" s="13">
        <f>IF(COUNT(I24,I13)&lt;2,"",IF(I13=0,"",I24/I13))</f>
        <v/>
      </c>
      <c r="J46" s="13">
        <f>IF(COUNT(J24,J13)&lt;2,"",IF(J13=0,"",J24/J13))</f>
        <v/>
      </c>
      <c r="K46" s="13">
        <f>IF(COUNT(K24,K13)&lt;2,"",IF(K13=0,"",K24/K13))</f>
        <v/>
      </c>
      <c r="L46" s="13">
        <f>IF(COUNT(L24,L13)&lt;2,"",IF(L13=0,"",L24/L13))</f>
        <v/>
      </c>
      <c r="M46" s="13">
        <f>IF(COUNT(M24,M13)&lt;2,"",IF(M13=0,"",M24/M13))</f>
        <v/>
      </c>
      <c r="N46" s="13">
        <f>IF(COUNT(N24,N13)&lt;2,"",IF(N13=0,"",N24/N13))</f>
        <v/>
      </c>
      <c r="O46" s="13">
        <f>IF(COUNT(O24,O13)&lt;2,"",IF(O13=0,"",O24/O13))</f>
        <v/>
      </c>
    </row>
    <row r="50" spans="2:15" ht="23" customHeight="1">
      <c r="B50" s="4" t="s">
        <v>42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2:15" ht="23" customHeight="1">
      <c r="B51" s="5" t="s">
        <v>11</v>
      </c>
      <c r="C51" s="5" t="s">
        <v>12</v>
      </c>
      <c r="D51" s="5" t="s">
        <v>13</v>
      </c>
      <c r="E51" s="5" t="s">
        <v>14</v>
      </c>
      <c r="F51" s="5" t="s">
        <v>15</v>
      </c>
      <c r="G51" s="5" t="s">
        <v>16</v>
      </c>
      <c r="H51" s="5" t="s">
        <v>17</v>
      </c>
      <c r="I51" s="5" t="s">
        <v>18</v>
      </c>
      <c r="J51" s="5" t="s">
        <v>19</v>
      </c>
      <c r="K51" s="5" t="s">
        <v>20</v>
      </c>
      <c r="L51" s="5" t="s">
        <v>21</v>
      </c>
      <c r="M51" s="5" t="s">
        <v>22</v>
      </c>
      <c r="N51" s="5" t="s">
        <v>23</v>
      </c>
      <c r="O51" s="5" t="s">
        <v>38</v>
      </c>
    </row>
    <row r="52" spans="2:15" ht="23" customHeight="1">
      <c r="B52" s="6" t="s">
        <v>25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>
        <f>IF(COUNT(O30,O19)&lt;2,"",IF(O19=0,"",O30/O19))</f>
        <v/>
      </c>
    </row>
    <row r="53" spans="2:15" ht="23" customHeight="1">
      <c r="B53" s="6" t="s">
        <v>26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>
        <f>IF(COUNT(O31,O20)&lt;2,"",IF(O20=0,"",O31/O20))</f>
        <v/>
      </c>
    </row>
    <row r="54" spans="2:15" ht="23" customHeight="1">
      <c r="B54" s="6" t="s">
        <v>27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>
        <f>IF(COUNT(O32,O21)&lt;2,"",IF(O21=0,"",O32/O21))</f>
        <v/>
      </c>
    </row>
    <row r="55" spans="2:15" ht="23" customHeight="1">
      <c r="B55" s="6" t="s">
        <v>28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>
        <f>IF(COUNT(O33,O22)&lt;2,"",IF(O22=0,"",O33/O22))</f>
        <v/>
      </c>
    </row>
    <row r="56" spans="2:15" ht="23" customHeight="1">
      <c r="B56" s="6" t="s">
        <v>29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>
        <f>IF(COUNT(O34,O23)&lt;2,"",IF(O23=0,"",O34/O23))</f>
        <v/>
      </c>
    </row>
    <row r="57" spans="2:15" ht="23" customHeight="1">
      <c r="B57" s="6" t="s">
        <v>39</v>
      </c>
      <c r="C57" s="15">
        <f>IF(COUNT(C35,C24)&lt;2,"",IF(C24=0,"",C35/C24))</f>
        <v/>
      </c>
      <c r="D57" s="15">
        <f>IF(COUNT(D35,D24)&lt;2,"",IF(D24=0,"",D35/D24))</f>
        <v/>
      </c>
      <c r="E57" s="15">
        <f>IF(COUNT(E35,E24)&lt;2,"",IF(E24=0,"",E35/E24))</f>
        <v/>
      </c>
      <c r="F57" s="15">
        <f>IF(COUNT(F35,F24)&lt;2,"",IF(F24=0,"",F35/F24))</f>
        <v/>
      </c>
      <c r="G57" s="15">
        <f>IF(COUNT(G35,G24)&lt;2,"",IF(G24=0,"",G35/G24))</f>
        <v/>
      </c>
      <c r="H57" s="15">
        <f>IF(COUNT(H35,H24)&lt;2,"",IF(H24=0,"",H35/H24))</f>
        <v/>
      </c>
      <c r="I57" s="15">
        <f>IF(COUNT(I35,I24)&lt;2,"",IF(I24=0,"",I35/I24))</f>
        <v/>
      </c>
      <c r="J57" s="15">
        <f>IF(COUNT(J35,J24)&lt;2,"",IF(J24=0,"",J35/J24))</f>
        <v/>
      </c>
      <c r="K57" s="15">
        <f>IF(COUNT(K35,K24)&lt;2,"",IF(K24=0,"",K35/K24))</f>
        <v/>
      </c>
      <c r="L57" s="15">
        <f>IF(COUNT(L35,L24)&lt;2,"",IF(L24=0,"",L35/L24))</f>
        <v/>
      </c>
      <c r="M57" s="15">
        <f>IF(COUNT(M35,M24)&lt;2,"",IF(M24=0,"",M35/M24))</f>
        <v/>
      </c>
      <c r="N57" s="15">
        <f>IF(COUNT(N35,N24)&lt;2,"",IF(N24=0,"",N35/N24))</f>
        <v/>
      </c>
      <c r="O57" s="15">
        <f>IF(COUNT(O35,O24)&lt;2,"",IF(O24=0,"",O35/O24))</f>
        <v/>
      </c>
    </row>
    <row r="60" spans="2:15" ht="23" customHeight="1">
      <c r="B60" s="3" t="s">
        <v>45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2:15" ht="23" customHeight="1">
      <c r="B61" s="3" t="s">
        <v>46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2:15" ht="23" customHeight="1">
      <c r="B62" s="3" t="s">
        <v>47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</sheetData>
  <sheetProtection sheet="1" objects="1" scenarios="1"/>
  <mergeCells count="12">
    <mergeCell ref="B1:O1"/>
    <mergeCell ref="B2:O2"/>
    <mergeCell ref="B3:O3"/>
    <mergeCell ref="B4:O4"/>
    <mergeCell ref="B6:O6"/>
    <mergeCell ref="B17:O17"/>
    <mergeCell ref="B28:O28"/>
    <mergeCell ref="B39:O39"/>
    <mergeCell ref="B50:O50"/>
    <mergeCell ref="B60:O60"/>
    <mergeCell ref="B61:O61"/>
    <mergeCell ref="B62:O62"/>
  </mergeCells>
  <dataValidations count="180"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C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D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E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F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G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H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I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J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K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L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M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N8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C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D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E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F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G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H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I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J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K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L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M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N9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C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D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E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F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G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H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I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J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K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L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M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N10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C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D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E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F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G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H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I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J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K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L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M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N11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C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D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E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F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G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H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I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J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K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L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M12">
      <formula1>0</formula1>
    </dataValidation>
    <dataValidation type="whole" operator="greaterThanOrEqual" allowBlank="1" showInputMessage="1" showErrorMessage="1" errorTitle="入力値を確認してください" error="羽数は0以上の整数で入力してください。" promptTitle="計画値の入力" prompt="0以上の整数（羽）を入力します。" sqref="N12">
      <formula1>0</formula1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C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D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E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F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G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H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I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J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K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L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M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N41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C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D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E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F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G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H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I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J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K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L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M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N42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C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D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E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F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G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H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I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J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K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L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M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N43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C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D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E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F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G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H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I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J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K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L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M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N44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C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D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E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F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G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H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I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J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K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L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M45">
      <formula1>0</formula1>
      <formula2>1</formula2>
    </dataValidation>
    <dataValidation type="decimal" allowBlank="1" showInputMessage="1" showErrorMessage="1" errorTitle="入力値を確認してください" error="育成率は0%～100%で入力してください。" promptTitle="計画値の入力" prompt="98% または 0.98 と入力します。" sqref="N45">
      <formula1>0</formula1>
      <formula2>1</formula2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C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D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E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F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G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H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I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J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K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L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M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N52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C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D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E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F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G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H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I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J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K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L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M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N53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C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D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E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F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G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H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I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J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K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L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M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N54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C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D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E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F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G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H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I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J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K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L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M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N55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C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D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E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F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G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H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I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J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K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L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M56">
      <formula1>0</formula1>
    </dataValidation>
    <dataValidation type="decimal" operator="greaterThan" allowBlank="1" showInputMessage="1" showErrorMessage="1" errorTitle="入力値を確認してください" error="体重は0より大きい数値をkgで入力してください。" promptTitle="計画値の入力" prompt="kg／羽で入力します。例：3.50" sqref="N56">
      <formula1>0</formula1>
    </dataValidation>
  </dataValidations>
  <pageMargins left="0.25" right="0.25" top="0.35" bottom="0.35" header="0.3" footer="0.3"/>
  <pageSetup paperSize="9" fitToHeight="0" orientation="landscape"/>
  <headerFooter>
    <oddFooter>&amp;L計画管理用　&amp;C&amp;P / &amp;N&amp;R作成日：2026/10/31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  <pageSetUpPr fitToPage="1"/>
  </sheetPr>
  <dimension ref="A1:O61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23" customHeight="1"/>
  <cols>
    <col min="1" max="1" width="2.7109375" customWidth="1"/>
    <col min="2" max="2" width="29.7109375" customWidth="1"/>
    <col min="3" max="14" width="12.28515625" customWidth="1"/>
    <col min="15" max="15" width="15.7109375" customWidth="1"/>
  </cols>
  <sheetData>
    <row r="1" spans="2:15" ht="34" customHeight="1"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23" customHeight="1"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23" customHeight="1">
      <c r="B3" s="3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23" customHeight="1">
      <c r="B4" s="3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 ht="23" customHeight="1">
      <c r="B6" s="4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ht="23" customHeight="1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  <c r="M7" s="5" t="s">
        <v>22</v>
      </c>
      <c r="N7" s="5" t="s">
        <v>23</v>
      </c>
      <c r="O7" s="5" t="s">
        <v>32</v>
      </c>
    </row>
    <row r="8" spans="2:15" ht="23" customHeight="1">
      <c r="B8" s="6" t="s">
        <v>25</v>
      </c>
      <c r="C8" s="9">
        <v>55006</v>
      </c>
      <c r="D8" s="9">
        <v>52673</v>
      </c>
      <c r="E8" s="9">
        <v>62600</v>
      </c>
      <c r="F8" s="9">
        <v>55850</v>
      </c>
      <c r="G8" s="9">
        <v>57139</v>
      </c>
      <c r="H8" s="9">
        <v>63100</v>
      </c>
      <c r="I8" s="9">
        <v>57800</v>
      </c>
      <c r="J8" s="9"/>
      <c r="K8" s="9"/>
      <c r="L8" s="9"/>
      <c r="M8" s="9"/>
      <c r="N8" s="9"/>
      <c r="O8" s="8">
        <f>IF(COUNT(C8:N8)=0,"",SUM(C8:N8))</f>
        <v>404168.0</v>
      </c>
    </row>
    <row r="9" spans="2:15" ht="23" customHeight="1">
      <c r="B9" s="6" t="s">
        <v>26</v>
      </c>
      <c r="C9" s="9">
        <v>90900</v>
      </c>
      <c r="D9" s="9">
        <v>86200</v>
      </c>
      <c r="E9" s="9">
        <v>78400</v>
      </c>
      <c r="F9" s="9">
        <v>79900</v>
      </c>
      <c r="G9" s="9">
        <v>69900</v>
      </c>
      <c r="H9" s="9">
        <v>49500</v>
      </c>
      <c r="I9" s="9">
        <v>75600</v>
      </c>
      <c r="J9" s="9"/>
      <c r="K9" s="9"/>
      <c r="L9" s="9"/>
      <c r="M9" s="9"/>
      <c r="N9" s="9"/>
      <c r="O9" s="8">
        <f>IF(COUNT(C9:N9)=0,"",SUM(C9:N9))</f>
        <v>530400.0</v>
      </c>
    </row>
    <row r="10" spans="2:15" ht="23" customHeight="1">
      <c r="B10" s="6" t="s">
        <v>27</v>
      </c>
      <c r="C10" s="9">
        <v>350600</v>
      </c>
      <c r="D10" s="9">
        <v>292400</v>
      </c>
      <c r="E10" s="9">
        <v>351200</v>
      </c>
      <c r="F10" s="9">
        <v>322300</v>
      </c>
      <c r="G10" s="9">
        <v>345100</v>
      </c>
      <c r="H10" s="9">
        <v>366900</v>
      </c>
      <c r="I10" s="9">
        <v>299800</v>
      </c>
      <c r="J10" s="9"/>
      <c r="K10" s="9"/>
      <c r="L10" s="9"/>
      <c r="M10" s="9"/>
      <c r="N10" s="9"/>
      <c r="O10" s="8">
        <f>IF(COUNT(C10:N10)=0,"",SUM(C10:N10))</f>
        <v>2328300.0</v>
      </c>
    </row>
    <row r="11" spans="2:15" ht="23" customHeight="1">
      <c r="B11" s="6" t="s">
        <v>28</v>
      </c>
      <c r="C11" s="9">
        <v>214900</v>
      </c>
      <c r="D11" s="9">
        <v>229000</v>
      </c>
      <c r="E11" s="9">
        <v>219800</v>
      </c>
      <c r="F11" s="9">
        <v>251100</v>
      </c>
      <c r="G11" s="9">
        <v>240700</v>
      </c>
      <c r="H11" s="9">
        <v>224400</v>
      </c>
      <c r="I11" s="9">
        <v>232700</v>
      </c>
      <c r="J11" s="9"/>
      <c r="K11" s="9"/>
      <c r="L11" s="9"/>
      <c r="M11" s="9"/>
      <c r="N11" s="9"/>
      <c r="O11" s="8">
        <f>IF(COUNT(C11:N11)=0,"",SUM(C11:N11))</f>
        <v>1612600.0</v>
      </c>
    </row>
    <row r="12" spans="2:15" ht="23" customHeight="1">
      <c r="B12" s="6" t="s">
        <v>29</v>
      </c>
      <c r="C12" s="9">
        <v>72000</v>
      </c>
      <c r="D12" s="9">
        <v>70212</v>
      </c>
      <c r="E12" s="9">
        <v>72000</v>
      </c>
      <c r="F12" s="9">
        <v>67200</v>
      </c>
      <c r="G12" s="9">
        <v>60000</v>
      </c>
      <c r="H12" s="9">
        <v>62403</v>
      </c>
      <c r="I12" s="9">
        <v>50000</v>
      </c>
      <c r="J12" s="9"/>
      <c r="K12" s="9"/>
      <c r="L12" s="9"/>
      <c r="M12" s="9"/>
      <c r="N12" s="9"/>
      <c r="O12" s="8">
        <f>IF(COUNT(C12:N12)=0,"",SUM(C12:N12))</f>
        <v>453815.0</v>
      </c>
    </row>
    <row r="13" spans="2:15" ht="23" customHeight="1">
      <c r="B13" s="6" t="s">
        <v>30</v>
      </c>
      <c r="C13" s="8">
        <f>IF(COUNT(C8:C12)&lt;5,"",SUM(C8:C12))</f>
        <v>783406.0</v>
      </c>
      <c r="D13" s="8">
        <f>IF(COUNT(D8:D12)&lt;5,"",SUM(D8:D12))</f>
        <v>730485.0</v>
      </c>
      <c r="E13" s="8">
        <f>IF(COUNT(E8:E12)&lt;5,"",SUM(E8:E12))</f>
        <v>784000.0</v>
      </c>
      <c r="F13" s="8">
        <f>IF(COUNT(F8:F12)&lt;5,"",SUM(F8:F12))</f>
        <v>776350.0</v>
      </c>
      <c r="G13" s="8">
        <f>IF(COUNT(G8:G12)&lt;5,"",SUM(G8:G12))</f>
        <v>772839.0</v>
      </c>
      <c r="H13" s="8">
        <f>IF(COUNT(H8:H12)&lt;5,"",SUM(H8:H12))</f>
        <v>766303.0</v>
      </c>
      <c r="I13" s="8">
        <f>IF(COUNT(I8:I12)&lt;5,"",SUM(I8:I12))</f>
        <v>715900.0</v>
      </c>
      <c r="J13" s="8">
        <f>IF(COUNT(J8:J12)&lt;5,"",SUM(J8:J12))</f>
        <v/>
      </c>
      <c r="K13" s="8">
        <f>IF(COUNT(K8:K12)&lt;5,"",SUM(K8:K12))</f>
        <v/>
      </c>
      <c r="L13" s="8">
        <f>IF(COUNT(L8:L12)&lt;5,"",SUM(L8:L12))</f>
        <v/>
      </c>
      <c r="M13" s="8">
        <f>IF(COUNT(M8:M12)&lt;5,"",SUM(M8:M12))</f>
        <v/>
      </c>
      <c r="N13" s="8">
        <f>IF(COUNT(N8:N12)&lt;5,"",SUM(N8:N12))</f>
        <v/>
      </c>
      <c r="O13" s="8">
        <f>IF(COUNT(O8:O12)&lt;5,"",SUM(O8:O12))</f>
        <v>5329283.0</v>
      </c>
    </row>
    <row r="17" spans="2:15" ht="23" customHeight="1">
      <c r="B17" s="4" t="s">
        <v>34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ht="23" customHeight="1"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17</v>
      </c>
      <c r="I18" s="5" t="s">
        <v>18</v>
      </c>
      <c r="J18" s="5" t="s">
        <v>19</v>
      </c>
      <c r="K18" s="5" t="s">
        <v>20</v>
      </c>
      <c r="L18" s="5" t="s">
        <v>21</v>
      </c>
      <c r="M18" s="5" t="s">
        <v>22</v>
      </c>
      <c r="N18" s="5" t="s">
        <v>23</v>
      </c>
      <c r="O18" s="5" t="s">
        <v>32</v>
      </c>
    </row>
    <row r="19" spans="2:15" ht="23" customHeight="1">
      <c r="B19" s="6" t="s">
        <v>25</v>
      </c>
      <c r="C19" s="9">
        <v>49662</v>
      </c>
      <c r="D19" s="9">
        <v>49599</v>
      </c>
      <c r="E19" s="9">
        <v>61442</v>
      </c>
      <c r="F19" s="9">
        <v>54597</v>
      </c>
      <c r="G19" s="9">
        <v>56130</v>
      </c>
      <c r="H19" s="9">
        <v>62784</v>
      </c>
      <c r="I19" s="9">
        <v>56448</v>
      </c>
      <c r="J19" s="9"/>
      <c r="K19" s="9"/>
      <c r="L19" s="9"/>
      <c r="M19" s="9"/>
      <c r="N19" s="9"/>
      <c r="O19" s="8">
        <f>IF(COUNT(C19:N19)=0,"",SUM(C19:N19))</f>
        <v>390662.0</v>
      </c>
    </row>
    <row r="20" spans="2:15" ht="23" customHeight="1">
      <c r="B20" s="6" t="s">
        <v>26</v>
      </c>
      <c r="C20" s="9">
        <v>87323</v>
      </c>
      <c r="D20" s="9">
        <v>79427</v>
      </c>
      <c r="E20" s="9">
        <v>74827</v>
      </c>
      <c r="F20" s="9">
        <v>74076</v>
      </c>
      <c r="G20" s="9">
        <v>66268</v>
      </c>
      <c r="H20" s="9">
        <v>46813</v>
      </c>
      <c r="I20" s="9">
        <v>71538</v>
      </c>
      <c r="J20" s="9"/>
      <c r="K20" s="9"/>
      <c r="L20" s="9"/>
      <c r="M20" s="9"/>
      <c r="N20" s="9"/>
      <c r="O20" s="8">
        <f>IF(COUNT(C20:N20)=0,"",SUM(C20:N20))</f>
        <v>500272.0</v>
      </c>
    </row>
    <row r="21" spans="2:15" ht="23" customHeight="1">
      <c r="B21" s="6" t="s">
        <v>27</v>
      </c>
      <c r="C21" s="9">
        <v>341440</v>
      </c>
      <c r="D21" s="9">
        <v>285288</v>
      </c>
      <c r="E21" s="9">
        <v>338800</v>
      </c>
      <c r="F21" s="9">
        <v>316248</v>
      </c>
      <c r="G21" s="9">
        <v>336398</v>
      </c>
      <c r="H21" s="9">
        <v>359533</v>
      </c>
      <c r="I21" s="9">
        <v>295444</v>
      </c>
      <c r="J21" s="9"/>
      <c r="K21" s="9"/>
      <c r="L21" s="9"/>
      <c r="M21" s="9"/>
      <c r="N21" s="9"/>
      <c r="O21" s="8">
        <f>IF(COUNT(C21:N21)=0,"",SUM(C21:N21))</f>
        <v>2273151.0</v>
      </c>
    </row>
    <row r="22" spans="2:15" ht="23" customHeight="1">
      <c r="B22" s="6" t="s">
        <v>28</v>
      </c>
      <c r="C22" s="9">
        <v>207713</v>
      </c>
      <c r="D22" s="9">
        <v>219312</v>
      </c>
      <c r="E22" s="9">
        <v>214270</v>
      </c>
      <c r="F22" s="9">
        <v>244140</v>
      </c>
      <c r="G22" s="9">
        <v>235820</v>
      </c>
      <c r="H22" s="9">
        <v>221305</v>
      </c>
      <c r="I22" s="9">
        <v>231256</v>
      </c>
      <c r="J22" s="9"/>
      <c r="K22" s="9"/>
      <c r="L22" s="9"/>
      <c r="M22" s="9"/>
      <c r="N22" s="9"/>
      <c r="O22" s="8">
        <f>IF(COUNT(C22:N22)=0,"",SUM(C22:N22))</f>
        <v>1573816.0</v>
      </c>
    </row>
    <row r="23" spans="2:15" ht="23" customHeight="1">
      <c r="B23" s="6" t="s">
        <v>29</v>
      </c>
      <c r="C23" s="9">
        <v>70038</v>
      </c>
      <c r="D23" s="9">
        <v>67166</v>
      </c>
      <c r="E23" s="9">
        <v>70082</v>
      </c>
      <c r="F23" s="9">
        <v>66276</v>
      </c>
      <c r="G23" s="9">
        <v>59008</v>
      </c>
      <c r="H23" s="9">
        <v>61497</v>
      </c>
      <c r="I23" s="9">
        <v>49445</v>
      </c>
      <c r="J23" s="9"/>
      <c r="K23" s="9"/>
      <c r="L23" s="9"/>
      <c r="M23" s="9"/>
      <c r="N23" s="9"/>
      <c r="O23" s="8">
        <f>IF(COUNT(C23:N23)=0,"",SUM(C23:N23))</f>
        <v>443512.0</v>
      </c>
    </row>
    <row r="24" spans="2:15" ht="23" customHeight="1">
      <c r="B24" s="6" t="s">
        <v>30</v>
      </c>
      <c r="C24" s="8">
        <f>IF(COUNT(C19:C23)&lt;5,"",SUM(C19:C23))</f>
        <v>756176.0</v>
      </c>
      <c r="D24" s="8">
        <f>IF(COUNT(D19:D23)&lt;5,"",SUM(D19:D23))</f>
        <v>700792.0</v>
      </c>
      <c r="E24" s="8">
        <f>IF(COUNT(E19:E23)&lt;5,"",SUM(E19:E23))</f>
        <v>759421.0</v>
      </c>
      <c r="F24" s="8">
        <f>IF(COUNT(F19:F23)&lt;5,"",SUM(F19:F23))</f>
        <v>755337.0</v>
      </c>
      <c r="G24" s="8">
        <f>IF(COUNT(G19:G23)&lt;5,"",SUM(G19:G23))</f>
        <v>753624.0</v>
      </c>
      <c r="H24" s="8">
        <f>IF(COUNT(H19:H23)&lt;5,"",SUM(H19:H23))</f>
        <v>751932.0</v>
      </c>
      <c r="I24" s="8">
        <f>IF(COUNT(I19:I23)&lt;5,"",SUM(I19:I23))</f>
        <v>704131.0</v>
      </c>
      <c r="J24" s="8">
        <f>IF(COUNT(J19:J23)&lt;5,"",SUM(J19:J23))</f>
        <v/>
      </c>
      <c r="K24" s="8">
        <f>IF(COUNT(K19:K23)&lt;5,"",SUM(K19:K23))</f>
        <v/>
      </c>
      <c r="L24" s="8">
        <f>IF(COUNT(L19:L23)&lt;5,"",SUM(L19:L23))</f>
        <v/>
      </c>
      <c r="M24" s="8">
        <f>IF(COUNT(M19:M23)&lt;5,"",SUM(M19:M23))</f>
        <v/>
      </c>
      <c r="N24" s="8">
        <f>IF(COUNT(N19:N23)&lt;5,"",SUM(N19:N23))</f>
        <v/>
      </c>
      <c r="O24" s="8">
        <f>IF(COUNT(O19:O23)&lt;5,"",SUM(O19:O23))</f>
        <v>5181413.0</v>
      </c>
    </row>
    <row r="28" spans="2:15" ht="23" customHeight="1">
      <c r="B28" s="4" t="s">
        <v>36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ht="23" customHeight="1">
      <c r="B29" s="5" t="s">
        <v>11</v>
      </c>
      <c r="C29" s="5" t="s">
        <v>12</v>
      </c>
      <c r="D29" s="5" t="s">
        <v>13</v>
      </c>
      <c r="E29" s="5" t="s">
        <v>14</v>
      </c>
      <c r="F29" s="5" t="s">
        <v>15</v>
      </c>
      <c r="G29" s="5" t="s">
        <v>16</v>
      </c>
      <c r="H29" s="5" t="s">
        <v>17</v>
      </c>
      <c r="I29" s="5" t="s">
        <v>18</v>
      </c>
      <c r="J29" s="5" t="s">
        <v>19</v>
      </c>
      <c r="K29" s="5" t="s">
        <v>20</v>
      </c>
      <c r="L29" s="5" t="s">
        <v>21</v>
      </c>
      <c r="M29" s="5" t="s">
        <v>22</v>
      </c>
      <c r="N29" s="5" t="s">
        <v>23</v>
      </c>
      <c r="O29" s="5" t="s">
        <v>32</v>
      </c>
    </row>
    <row r="30" spans="2:15" ht="23" customHeight="1">
      <c r="B30" s="6" t="s">
        <v>25</v>
      </c>
      <c r="C30" s="10">
        <v>187405.1</v>
      </c>
      <c r="D30" s="10">
        <v>181907.4</v>
      </c>
      <c r="E30" s="10">
        <v>231200.2</v>
      </c>
      <c r="F30" s="10">
        <v>197733.5</v>
      </c>
      <c r="G30" s="10">
        <v>196536.9</v>
      </c>
      <c r="H30" s="10">
        <v>221566.7</v>
      </c>
      <c r="I30" s="10">
        <v>194013.4</v>
      </c>
      <c r="J30" s="10"/>
      <c r="K30" s="10"/>
      <c r="L30" s="10"/>
      <c r="M30" s="10"/>
      <c r="N30" s="10"/>
      <c r="O30" s="11">
        <f>IF(COUNT(C30:N30)=0,"",SUM(C30:N30))</f>
        <v>1410363.2</v>
      </c>
    </row>
    <row r="31" spans="2:15" ht="23" customHeight="1">
      <c r="B31" s="6" t="s">
        <v>26</v>
      </c>
      <c r="C31" s="10">
        <v>286299.4</v>
      </c>
      <c r="D31" s="10">
        <v>251579.7</v>
      </c>
      <c r="E31" s="10">
        <v>246681.9</v>
      </c>
      <c r="F31" s="10">
        <v>251832.3</v>
      </c>
      <c r="G31" s="10">
        <v>213503.4</v>
      </c>
      <c r="H31" s="10">
        <v>156492.9</v>
      </c>
      <c r="I31" s="10">
        <v>238821.8</v>
      </c>
      <c r="J31" s="10"/>
      <c r="K31" s="10"/>
      <c r="L31" s="10"/>
      <c r="M31" s="10"/>
      <c r="N31" s="10"/>
      <c r="O31" s="11">
        <f>IF(COUNT(C31:N31)=0,"",SUM(C31:N31))</f>
        <v>1645211.4</v>
      </c>
    </row>
    <row r="32" spans="2:15" ht="23" customHeight="1">
      <c r="B32" s="6" t="s">
        <v>27</v>
      </c>
      <c r="C32" s="10">
        <v>985452.8</v>
      </c>
      <c r="D32" s="10">
        <v>834735.6</v>
      </c>
      <c r="E32" s="10">
        <v>998232.7</v>
      </c>
      <c r="F32" s="10">
        <v>968720.2</v>
      </c>
      <c r="G32" s="10">
        <v>1042549.9</v>
      </c>
      <c r="H32" s="10">
        <v>1125852</v>
      </c>
      <c r="I32" s="10">
        <v>891736.9</v>
      </c>
      <c r="J32" s="10"/>
      <c r="K32" s="10"/>
      <c r="L32" s="10"/>
      <c r="M32" s="10"/>
      <c r="N32" s="10"/>
      <c r="O32" s="11">
        <f>IF(COUNT(C32:N32)=0,"",SUM(C32:N32))</f>
        <v>6847280.1</v>
      </c>
    </row>
    <row r="33" spans="2:15" ht="23" customHeight="1">
      <c r="B33" s="6" t="s">
        <v>28</v>
      </c>
      <c r="C33" s="10">
        <v>653184.1</v>
      </c>
      <c r="D33" s="10">
        <v>687485</v>
      </c>
      <c r="E33" s="10">
        <v>703985.5</v>
      </c>
      <c r="F33" s="10">
        <v>796245.3</v>
      </c>
      <c r="G33" s="10">
        <v>769508.9</v>
      </c>
      <c r="H33" s="10">
        <v>716889.8</v>
      </c>
      <c r="I33" s="10">
        <v>725315.1</v>
      </c>
      <c r="J33" s="10"/>
      <c r="K33" s="10"/>
      <c r="L33" s="10"/>
      <c r="M33" s="10"/>
      <c r="N33" s="10"/>
      <c r="O33" s="11">
        <f>IF(COUNT(C33:N33)=0,"",SUM(C33:N33))</f>
        <v>5052613.7</v>
      </c>
    </row>
    <row r="34" spans="2:15" ht="23" customHeight="1">
      <c r="B34" s="6" t="s">
        <v>29</v>
      </c>
      <c r="C34" s="10">
        <v>224870.9</v>
      </c>
      <c r="D34" s="10">
        <v>219172.2</v>
      </c>
      <c r="E34" s="10">
        <v>233382</v>
      </c>
      <c r="F34" s="10">
        <v>214726.2</v>
      </c>
      <c r="G34" s="10">
        <v>194159.9</v>
      </c>
      <c r="H34" s="10">
        <v>204679.6</v>
      </c>
      <c r="I34" s="10">
        <v>155893.7</v>
      </c>
      <c r="J34" s="10"/>
      <c r="K34" s="10"/>
      <c r="L34" s="10"/>
      <c r="M34" s="10"/>
      <c r="N34" s="10"/>
      <c r="O34" s="11">
        <f>IF(COUNT(C34:N34)=0,"",SUM(C34:N34))</f>
        <v>1446884.5</v>
      </c>
    </row>
    <row r="35" spans="2:15" ht="23" customHeight="1">
      <c r="B35" s="6" t="s">
        <v>30</v>
      </c>
      <c r="C35" s="11">
        <f>IF(COUNT(C30:C34)&lt;5,"",SUM(C30:C34))</f>
        <v>2337212.3</v>
      </c>
      <c r="D35" s="11">
        <f>IF(COUNT(D30:D34)&lt;5,"",SUM(D30:D34))</f>
        <v>2174879.9</v>
      </c>
      <c r="E35" s="11">
        <f>IF(COUNT(E30:E34)&lt;5,"",SUM(E30:E34))</f>
        <v>2413482.3</v>
      </c>
      <c r="F35" s="11">
        <f>IF(COUNT(F30:F34)&lt;5,"",SUM(F30:F34))</f>
        <v>2429257.5</v>
      </c>
      <c r="G35" s="11">
        <f>IF(COUNT(G30:G34)&lt;5,"",SUM(G30:G34))</f>
        <v>2416259.0</v>
      </c>
      <c r="H35" s="11">
        <f>IF(COUNT(H30:H34)&lt;5,"",SUM(H30:H34))</f>
        <v>2425481.0</v>
      </c>
      <c r="I35" s="11">
        <f>IF(COUNT(I30:I34)&lt;5,"",SUM(I30:I34))</f>
        <v>2205780.9</v>
      </c>
      <c r="J35" s="11">
        <f>IF(COUNT(J30:J34)&lt;5,"",SUM(J30:J34))</f>
        <v/>
      </c>
      <c r="K35" s="11">
        <f>IF(COUNT(K30:K34)&lt;5,"",SUM(K30:K34))</f>
        <v/>
      </c>
      <c r="L35" s="11">
        <f>IF(COUNT(L30:L34)&lt;5,"",SUM(L30:L34))</f>
        <v/>
      </c>
      <c r="M35" s="11">
        <f>IF(COUNT(M30:M34)&lt;5,"",SUM(M30:M34))</f>
        <v/>
      </c>
      <c r="N35" s="11">
        <f>IF(COUNT(N30:N34)&lt;5,"",SUM(N30:N34))</f>
        <v/>
      </c>
      <c r="O35" s="11">
        <f>IF(COUNT(O30:O34)&lt;5,"",SUM(O30:O34))</f>
        <v>16402352.9</v>
      </c>
    </row>
    <row r="39" spans="2:15" ht="23" customHeight="1">
      <c r="B39" s="4" t="s">
        <v>40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ht="23" customHeight="1">
      <c r="B40" s="5" t="s">
        <v>11</v>
      </c>
      <c r="C40" s="5" t="s">
        <v>12</v>
      </c>
      <c r="D40" s="5" t="s">
        <v>13</v>
      </c>
      <c r="E40" s="5" t="s">
        <v>14</v>
      </c>
      <c r="F40" s="5" t="s">
        <v>15</v>
      </c>
      <c r="G40" s="5" t="s">
        <v>16</v>
      </c>
      <c r="H40" s="5" t="s">
        <v>17</v>
      </c>
      <c r="I40" s="5" t="s">
        <v>18</v>
      </c>
      <c r="J40" s="5" t="s">
        <v>19</v>
      </c>
      <c r="K40" s="5" t="s">
        <v>20</v>
      </c>
      <c r="L40" s="5" t="s">
        <v>21</v>
      </c>
      <c r="M40" s="5" t="s">
        <v>22</v>
      </c>
      <c r="N40" s="5" t="s">
        <v>23</v>
      </c>
      <c r="O40" s="5" t="s">
        <v>41</v>
      </c>
    </row>
    <row r="41" spans="2:15" ht="23" customHeight="1">
      <c r="B41" s="6" t="s">
        <v>25</v>
      </c>
      <c r="C41" s="16">
        <f>IF(COUNT(C19,C8)&lt;2,"",IF(C8=0,"",C19/C8))</f>
        <v>0.9028469621495837</v>
      </c>
      <c r="D41" s="16">
        <f>IF(COUNT(D19,D8)&lt;2,"",IF(D8=0,"",D19/D8))</f>
        <v>0.9416399293755814</v>
      </c>
      <c r="E41" s="16">
        <f>IF(COUNT(E19,E8)&lt;2,"",IF(E8=0,"",E19/E8))</f>
        <v>0.9815015974440895</v>
      </c>
      <c r="F41" s="16">
        <f>IF(COUNT(F19,F8)&lt;2,"",IF(F8=0,"",F19/F8))</f>
        <v>0.9775649059982094</v>
      </c>
      <c r="G41" s="16">
        <f>IF(COUNT(G19,G8)&lt;2,"",IF(G8=0,"",G19/G8))</f>
        <v>0.9823413080382926</v>
      </c>
      <c r="H41" s="16">
        <f>IF(COUNT(H19,H8)&lt;2,"",IF(H8=0,"",H19/H8))</f>
        <v>0.9949920760697306</v>
      </c>
      <c r="I41" s="16">
        <f>IF(COUNT(I19,I8)&lt;2,"",IF(I8=0,"",I19/I8))</f>
        <v>0.9766089965397924</v>
      </c>
      <c r="J41" s="16">
        <f>IF(COUNT(J19,J8)&lt;2,"",IF(J8=0,"",J19/J8))</f>
        <v/>
      </c>
      <c r="K41" s="16">
        <f>IF(COUNT(K19,K8)&lt;2,"",IF(K8=0,"",K19/K8))</f>
        <v/>
      </c>
      <c r="L41" s="16">
        <f>IF(COUNT(L19,L8)&lt;2,"",IF(L8=0,"",L19/L8))</f>
        <v/>
      </c>
      <c r="M41" s="16">
        <f>IF(COUNT(M19,M8)&lt;2,"",IF(M8=0,"",M19/M8))</f>
        <v/>
      </c>
      <c r="N41" s="16">
        <f>IF(COUNT(N19,N8)&lt;2,"",IF(N8=0,"",N19/N8))</f>
        <v/>
      </c>
      <c r="O41" s="13">
        <f>IF(COUNT(O19,O8)&lt;2,"",IF(O8=0,"",O19/O8))</f>
        <v>0.9665832030244849</v>
      </c>
    </row>
    <row r="42" spans="2:15" ht="23" customHeight="1">
      <c r="B42" s="6" t="s">
        <v>26</v>
      </c>
      <c r="C42" s="16">
        <f>IF(COUNT(C20,C9)&lt;2,"",IF(C9=0,"",C20/C9))</f>
        <v>0.9606490649064906</v>
      </c>
      <c r="D42" s="16">
        <f>IF(COUNT(D20,D9)&lt;2,"",IF(D9=0,"",D20/D9))</f>
        <v>0.9214269141531323</v>
      </c>
      <c r="E42" s="16">
        <f>IF(COUNT(E20,E9)&lt;2,"",IF(E9=0,"",E20/E9))</f>
        <v>0.9544260204081633</v>
      </c>
      <c r="F42" s="16">
        <f>IF(COUNT(F20,F9)&lt;2,"",IF(F9=0,"",F20/F9))</f>
        <v>0.9271088861076345</v>
      </c>
      <c r="G42" s="16">
        <f>IF(COUNT(G20,G9)&lt;2,"",IF(G9=0,"",G20/G9))</f>
        <v>0.9480400572246066</v>
      </c>
      <c r="H42" s="16">
        <f>IF(COUNT(H20,H9)&lt;2,"",IF(H9=0,"",H20/H9))</f>
        <v>0.9457171717171717</v>
      </c>
      <c r="I42" s="16">
        <f>IF(COUNT(I20,I9)&lt;2,"",IF(I9=0,"",I20/I9))</f>
        <v>0.9462698412698413</v>
      </c>
      <c r="J42" s="16">
        <f>IF(COUNT(J20,J9)&lt;2,"",IF(J9=0,"",J20/J9))</f>
        <v/>
      </c>
      <c r="K42" s="16">
        <f>IF(COUNT(K20,K9)&lt;2,"",IF(K9=0,"",K20/K9))</f>
        <v/>
      </c>
      <c r="L42" s="16">
        <f>IF(COUNT(L20,L9)&lt;2,"",IF(L9=0,"",L20/L9))</f>
        <v/>
      </c>
      <c r="M42" s="16">
        <f>IF(COUNT(M20,M9)&lt;2,"",IF(M9=0,"",M20/M9))</f>
        <v/>
      </c>
      <c r="N42" s="16">
        <f>IF(COUNT(N20,N9)&lt;2,"",IF(N9=0,"",N20/N9))</f>
        <v/>
      </c>
      <c r="O42" s="13">
        <f>IF(COUNT(O20,O9)&lt;2,"",IF(O9=0,"",O20/O9))</f>
        <v>0.9431975867269985</v>
      </c>
    </row>
    <row r="43" spans="2:15" ht="23" customHeight="1">
      <c r="B43" s="6" t="s">
        <v>27</v>
      </c>
      <c r="C43" s="16">
        <f>IF(COUNT(C21,C10)&lt;2,"",IF(C10=0,"",C21/C10))</f>
        <v>0.973873359954364</v>
      </c>
      <c r="D43" s="16">
        <f>IF(COUNT(D21,D10)&lt;2,"",IF(D10=0,"",D21/D10))</f>
        <v>0.9756771545827634</v>
      </c>
      <c r="E43" s="16">
        <f>IF(COUNT(E21,E10)&lt;2,"",IF(E10=0,"",E21/E10))</f>
        <v>0.9646924829157175</v>
      </c>
      <c r="F43" s="16">
        <f>IF(COUNT(F21,F10)&lt;2,"",IF(F10=0,"",F21/F10))</f>
        <v>0.9812224635432827</v>
      </c>
      <c r="G43" s="16">
        <f>IF(COUNT(G21,G10)&lt;2,"",IF(G10=0,"",G21/G10))</f>
        <v>0.9747841205447696</v>
      </c>
      <c r="H43" s="16">
        <f>IF(COUNT(H21,H10)&lt;2,"",IF(H10=0,"",H21/H10))</f>
        <v>0.9799209593894794</v>
      </c>
      <c r="I43" s="16">
        <f>IF(COUNT(I21,I10)&lt;2,"",IF(I10=0,"",I21/I10))</f>
        <v>0.9854703135423616</v>
      </c>
      <c r="J43" s="16">
        <f>IF(COUNT(J21,J10)&lt;2,"",IF(J10=0,"",J21/J10))</f>
        <v/>
      </c>
      <c r="K43" s="16">
        <f>IF(COUNT(K21,K10)&lt;2,"",IF(K10=0,"",K21/K10))</f>
        <v/>
      </c>
      <c r="L43" s="16">
        <f>IF(COUNT(L21,L10)&lt;2,"",IF(L10=0,"",L21/L10))</f>
        <v/>
      </c>
      <c r="M43" s="16">
        <f>IF(COUNT(M21,M10)&lt;2,"",IF(M10=0,"",M21/M10))</f>
        <v/>
      </c>
      <c r="N43" s="16">
        <f>IF(COUNT(N21,N10)&lt;2,"",IF(N10=0,"",N21/N10))</f>
        <v/>
      </c>
      <c r="O43" s="13">
        <f>IF(COUNT(O21,O10)&lt;2,"",IF(O10=0,"",O21/O10))</f>
        <v>0.976313619378946</v>
      </c>
    </row>
    <row r="44" spans="2:15" ht="23" customHeight="1">
      <c r="B44" s="6" t="s">
        <v>28</v>
      </c>
      <c r="C44" s="16">
        <f>IF(COUNT(C22,C11)&lt;2,"",IF(C11=0,"",C22/C11))</f>
        <v>0.9665565379246162</v>
      </c>
      <c r="D44" s="16">
        <f>IF(COUNT(D22,D11)&lt;2,"",IF(D11=0,"",D22/D11))</f>
        <v>0.9576943231441049</v>
      </c>
      <c r="E44" s="16">
        <f>IF(COUNT(E22,E11)&lt;2,"",IF(E11=0,"",E22/E11))</f>
        <v>0.9748407643312101</v>
      </c>
      <c r="F44" s="16">
        <f>IF(COUNT(F22,F11)&lt;2,"",IF(F11=0,"",F22/F11))</f>
        <v>0.9722819593787335</v>
      </c>
      <c r="G44" s="16">
        <f>IF(COUNT(G22,G11)&lt;2,"",IF(G11=0,"",G22/G11))</f>
        <v>0.979725799750727</v>
      </c>
      <c r="H44" s="16">
        <f>IF(COUNT(H22,H11)&lt;2,"",IF(H11=0,"",H22/H11))</f>
        <v>0.9862076648841355</v>
      </c>
      <c r="I44" s="16">
        <f>IF(COUNT(I22,I11)&lt;2,"",IF(I11=0,"",I22/I11))</f>
        <v>0.9937945853029652</v>
      </c>
      <c r="J44" s="16">
        <f>IF(COUNT(J22,J11)&lt;2,"",IF(J11=0,"",J22/J11))</f>
        <v/>
      </c>
      <c r="K44" s="16">
        <f>IF(COUNT(K22,K11)&lt;2,"",IF(K11=0,"",K22/K11))</f>
        <v/>
      </c>
      <c r="L44" s="16">
        <f>IF(COUNT(L22,L11)&lt;2,"",IF(L11=0,"",L22/L11))</f>
        <v/>
      </c>
      <c r="M44" s="16">
        <f>IF(COUNT(M22,M11)&lt;2,"",IF(M11=0,"",M22/M11))</f>
        <v/>
      </c>
      <c r="N44" s="16">
        <f>IF(COUNT(N22,N11)&lt;2,"",IF(N11=0,"",N22/N11))</f>
        <v/>
      </c>
      <c r="O44" s="13">
        <f>IF(COUNT(O22,O11)&lt;2,"",IF(O11=0,"",O22/O11))</f>
        <v>0.9759493984869155</v>
      </c>
    </row>
    <row r="45" spans="2:15" ht="23" customHeight="1">
      <c r="B45" s="6" t="s">
        <v>29</v>
      </c>
      <c r="C45" s="16">
        <f>IF(COUNT(C23,C12)&lt;2,"",IF(C12=0,"",C23/C12))</f>
        <v>0.97275</v>
      </c>
      <c r="D45" s="16">
        <f>IF(COUNT(D23,D12)&lt;2,"",IF(D12=0,"",D23/D12))</f>
        <v>0.956617102489603</v>
      </c>
      <c r="E45" s="16">
        <f>IF(COUNT(E23,E12)&lt;2,"",IF(E12=0,"",E23/E12))</f>
        <v>0.9733611111111111</v>
      </c>
      <c r="F45" s="16">
        <f>IF(COUNT(F23,F12)&lt;2,"",IF(F12=0,"",F23/F12))</f>
        <v>0.98625</v>
      </c>
      <c r="G45" s="16">
        <f>IF(COUNT(G23,G12)&lt;2,"",IF(G12=0,"",G23/G12))</f>
        <v>0.9834666666666667</v>
      </c>
      <c r="H45" s="16">
        <f>IF(COUNT(H23,H12)&lt;2,"",IF(H12=0,"",H23/H12))</f>
        <v>0.985481467237152</v>
      </c>
      <c r="I45" s="16">
        <f>IF(COUNT(I23,I12)&lt;2,"",IF(I12=0,"",I23/I12))</f>
        <v>0.9889</v>
      </c>
      <c r="J45" s="16">
        <f>IF(COUNT(J23,J12)&lt;2,"",IF(J12=0,"",J23/J12))</f>
        <v/>
      </c>
      <c r="K45" s="16">
        <f>IF(COUNT(K23,K12)&lt;2,"",IF(K12=0,"",K23/K12))</f>
        <v/>
      </c>
      <c r="L45" s="16">
        <f>IF(COUNT(L23,L12)&lt;2,"",IF(L12=0,"",L23/L12))</f>
        <v/>
      </c>
      <c r="M45" s="16">
        <f>IF(COUNT(M23,M12)&lt;2,"",IF(M12=0,"",M23/M12))</f>
        <v/>
      </c>
      <c r="N45" s="16">
        <f>IF(COUNT(N23,N12)&lt;2,"",IF(N12=0,"",N23/N12))</f>
        <v/>
      </c>
      <c r="O45" s="13">
        <f>IF(COUNT(O23,O12)&lt;2,"",IF(O12=0,"",O23/O12))</f>
        <v>0.9772969161442439</v>
      </c>
    </row>
    <row r="46" spans="2:15" ht="23" customHeight="1">
      <c r="B46" s="6" t="s">
        <v>39</v>
      </c>
      <c r="C46" s="13">
        <f>IF(COUNT(C24,C13)&lt;2,"",IF(C13=0,"",C24/C13))</f>
        <v>0.965241522275806</v>
      </c>
      <c r="D46" s="13">
        <f>IF(COUNT(D24,D13)&lt;2,"",IF(D13=0,"",D24/D13))</f>
        <v>0.9593516636207451</v>
      </c>
      <c r="E46" s="13">
        <f>IF(COUNT(E24,E13)&lt;2,"",IF(E13=0,"",E24/E13))</f>
        <v>0.9686492346938775</v>
      </c>
      <c r="F46" s="13">
        <f>IF(COUNT(F24,F13)&lt;2,"",IF(F13=0,"",F24/F13))</f>
        <v>0.9729335995362917</v>
      </c>
      <c r="G46" s="13">
        <f>IF(COUNT(G24,G13)&lt;2,"",IF(G13=0,"",G24/G13))</f>
        <v>0.9751371242910878</v>
      </c>
      <c r="H46" s="13">
        <f>IF(COUNT(H24,H13)&lt;2,"",IF(H13=0,"",H24/H13))</f>
        <v>0.9812463216247359</v>
      </c>
      <c r="I46" s="13">
        <f>IF(COUNT(I24,I13)&lt;2,"",IF(I13=0,"",I24/I13))</f>
        <v>0.9835605531498812</v>
      </c>
      <c r="J46" s="13">
        <f>IF(COUNT(J24,J13)&lt;2,"",IF(J13=0,"",J24/J13))</f>
        <v/>
      </c>
      <c r="K46" s="13">
        <f>IF(COUNT(K24,K13)&lt;2,"",IF(K13=0,"",K24/K13))</f>
        <v/>
      </c>
      <c r="L46" s="13">
        <f>IF(COUNT(L24,L13)&lt;2,"",IF(L13=0,"",L24/L13))</f>
        <v/>
      </c>
      <c r="M46" s="13">
        <f>IF(COUNT(M24,M13)&lt;2,"",IF(M13=0,"",M24/M13))</f>
        <v/>
      </c>
      <c r="N46" s="13">
        <f>IF(COUNT(N24,N13)&lt;2,"",IF(N13=0,"",N24/N13))</f>
        <v/>
      </c>
      <c r="O46" s="13">
        <f>IF(COUNT(O24,O13)&lt;2,"",IF(O13=0,"",O24/O13))</f>
        <v>0.9722533031178866</v>
      </c>
    </row>
    <row r="50" spans="2:15" ht="23" customHeight="1">
      <c r="B50" s="4" t="s">
        <v>43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2:15" ht="23" customHeight="1">
      <c r="B51" s="5" t="s">
        <v>11</v>
      </c>
      <c r="C51" s="5" t="s">
        <v>12</v>
      </c>
      <c r="D51" s="5" t="s">
        <v>13</v>
      </c>
      <c r="E51" s="5" t="s">
        <v>14</v>
      </c>
      <c r="F51" s="5" t="s">
        <v>15</v>
      </c>
      <c r="G51" s="5" t="s">
        <v>16</v>
      </c>
      <c r="H51" s="5" t="s">
        <v>17</v>
      </c>
      <c r="I51" s="5" t="s">
        <v>18</v>
      </c>
      <c r="J51" s="5" t="s">
        <v>19</v>
      </c>
      <c r="K51" s="5" t="s">
        <v>20</v>
      </c>
      <c r="L51" s="5" t="s">
        <v>21</v>
      </c>
      <c r="M51" s="5" t="s">
        <v>22</v>
      </c>
      <c r="N51" s="5" t="s">
        <v>23</v>
      </c>
      <c r="O51" s="5" t="s">
        <v>44</v>
      </c>
    </row>
    <row r="52" spans="2:15" ht="23" customHeight="1">
      <c r="B52" s="6" t="s">
        <v>25</v>
      </c>
      <c r="C52" s="17">
        <f>IF(COUNT(C30,C19)&lt;2,"",IF(C19=0,"",C30/C19))</f>
        <v>3.7736116145141154</v>
      </c>
      <c r="D52" s="17">
        <f>IF(COUNT(D30,D19)&lt;2,"",IF(D19=0,"",D30/D19))</f>
        <v>3.6675618460049595</v>
      </c>
      <c r="E52" s="17">
        <f>IF(COUNT(E30,E19)&lt;2,"",IF(E19=0,"",E30/E19))</f>
        <v>3.762901598255265</v>
      </c>
      <c r="F52" s="17">
        <f>IF(COUNT(F30,F19)&lt;2,"",IF(F19=0,"",F30/F19))</f>
        <v>3.6216916680403686</v>
      </c>
      <c r="G52" s="17">
        <f>IF(COUNT(G30,G19)&lt;2,"",IF(G19=0,"",G30/G19))</f>
        <v>3.5014591127739174</v>
      </c>
      <c r="H52" s="17">
        <f>IF(COUNT(H30,H19)&lt;2,"",IF(H19=0,"",H30/H19))</f>
        <v>3.52903128185525</v>
      </c>
      <c r="I52" s="17">
        <f>IF(COUNT(I30,I19)&lt;2,"",IF(I19=0,"",I30/I19))</f>
        <v>3.4370287698412696</v>
      </c>
      <c r="J52" s="17">
        <f>IF(COUNT(J30,J19)&lt;2,"",IF(J19=0,"",J30/J19))</f>
        <v/>
      </c>
      <c r="K52" s="17">
        <f>IF(COUNT(K30,K19)&lt;2,"",IF(K19=0,"",K30/K19))</f>
        <v/>
      </c>
      <c r="L52" s="17">
        <f>IF(COUNT(L30,L19)&lt;2,"",IF(L19=0,"",L30/L19))</f>
        <v/>
      </c>
      <c r="M52" s="17">
        <f>IF(COUNT(M30,M19)&lt;2,"",IF(M19=0,"",M30/M19))</f>
        <v/>
      </c>
      <c r="N52" s="17">
        <f>IF(COUNT(N30,N19)&lt;2,"",IF(N19=0,"",N30/N19))</f>
        <v/>
      </c>
      <c r="O52" s="15">
        <f>IF(COUNT(O30,O19)&lt;2,"",IF(O19=0,"",O30/O19))</f>
        <v>3.6101878350082677</v>
      </c>
    </row>
    <row r="53" spans="2:15" ht="23" customHeight="1">
      <c r="B53" s="6" t="s">
        <v>26</v>
      </c>
      <c r="C53" s="17">
        <f>IF(COUNT(C31,C20)&lt;2,"",IF(C20=0,"",C31/C20))</f>
        <v>3.2786253335318305</v>
      </c>
      <c r="D53" s="17">
        <f>IF(COUNT(D31,D20)&lt;2,"",IF(D20=0,"",D31/D20))</f>
        <v>3.1674329887821524</v>
      </c>
      <c r="E53" s="17">
        <f>IF(COUNT(E31,E20)&lt;2,"",IF(E20=0,"",E31/E20))</f>
        <v>3.296696379649057</v>
      </c>
      <c r="F53" s="17">
        <f>IF(COUNT(F31,F20)&lt;2,"",IF(F20=0,"",F31/F20))</f>
        <v>3.3996476591608618</v>
      </c>
      <c r="G53" s="17">
        <f>IF(COUNT(G31,G20)&lt;2,"",IF(G20=0,"",G31/G20))</f>
        <v>3.221817468461399</v>
      </c>
      <c r="H53" s="17">
        <f>IF(COUNT(H31,H20)&lt;2,"",IF(H20=0,"",H31/H20))</f>
        <v>3.3429367910623116</v>
      </c>
      <c r="I53" s="17">
        <f>IF(COUNT(I31,I20)&lt;2,"",IF(I20=0,"",I31/I20))</f>
        <v>3.338390785316894</v>
      </c>
      <c r="J53" s="17">
        <f>IF(COUNT(J31,J20)&lt;2,"",IF(J20=0,"",J31/J20))</f>
        <v/>
      </c>
      <c r="K53" s="17">
        <f>IF(COUNT(K31,K20)&lt;2,"",IF(K20=0,"",K31/K20))</f>
        <v/>
      </c>
      <c r="L53" s="17">
        <f>IF(COUNT(L31,L20)&lt;2,"",IF(L20=0,"",L31/L20))</f>
        <v/>
      </c>
      <c r="M53" s="17">
        <f>IF(COUNT(M31,M20)&lt;2,"",IF(M20=0,"",M31/M20))</f>
        <v/>
      </c>
      <c r="N53" s="17">
        <f>IF(COUNT(N31,N20)&lt;2,"",IF(N20=0,"",N31/N20))</f>
        <v/>
      </c>
      <c r="O53" s="15">
        <f>IF(COUNT(O31,O20)&lt;2,"",IF(O20=0,"",O31/O20))</f>
        <v>3.2886337832219272</v>
      </c>
    </row>
    <row r="54" spans="2:15" ht="23" customHeight="1">
      <c r="B54" s="6" t="s">
        <v>27</v>
      </c>
      <c r="C54" s="17">
        <f>IF(COUNT(C32,C21)&lt;2,"",IF(C21=0,"",C32/C21))</f>
        <v>2.886166822867854</v>
      </c>
      <c r="D54" s="17">
        <f>IF(COUNT(D32,D21)&lt;2,"",IF(D21=0,"",D32/D21))</f>
        <v>2.9259401026331284</v>
      </c>
      <c r="E54" s="17">
        <f>IF(COUNT(E32,E21)&lt;2,"",IF(E21=0,"",E32/E21))</f>
        <v>2.9463775088547814</v>
      </c>
      <c r="F54" s="17">
        <f>IF(COUNT(F32,F21)&lt;2,"",IF(F21=0,"",F32/F21))</f>
        <v>3.0631662492727227</v>
      </c>
      <c r="G54" s="17">
        <f>IF(COUNT(G32,G21)&lt;2,"",IF(G21=0,"",G32/G21))</f>
        <v>3.099156059191791</v>
      </c>
      <c r="H54" s="17">
        <f>IF(COUNT(H32,H21)&lt;2,"",IF(H21=0,"",H32/H21))</f>
        <v>3.1314288257267067</v>
      </c>
      <c r="I54" s="17">
        <f>IF(COUNT(I32,I21)&lt;2,"",IF(I21=0,"",I32/I21))</f>
        <v>3.018294160653119</v>
      </c>
      <c r="J54" s="17">
        <f>IF(COUNT(J32,J21)&lt;2,"",IF(J21=0,"",J32/J21))</f>
        <v/>
      </c>
      <c r="K54" s="17">
        <f>IF(COUNT(K32,K21)&lt;2,"",IF(K21=0,"",K32/K21))</f>
        <v/>
      </c>
      <c r="L54" s="17">
        <f>IF(COUNT(L32,L21)&lt;2,"",IF(L21=0,"",L32/L21))</f>
        <v/>
      </c>
      <c r="M54" s="17">
        <f>IF(COUNT(M32,M21)&lt;2,"",IF(M21=0,"",M32/M21))</f>
        <v/>
      </c>
      <c r="N54" s="17">
        <f>IF(COUNT(N32,N21)&lt;2,"",IF(N21=0,"",N32/N21))</f>
        <v/>
      </c>
      <c r="O54" s="15">
        <f>IF(COUNT(O32,O21)&lt;2,"",IF(O21=0,"",O32/O21))</f>
        <v>3.0122416416683273</v>
      </c>
    </row>
    <row r="55" spans="2:15" ht="23" customHeight="1">
      <c r="B55" s="6" t="s">
        <v>28</v>
      </c>
      <c r="C55" s="17">
        <f>IF(COUNT(C33,C22)&lt;2,"",IF(C22=0,"",C33/C22))</f>
        <v>3.144647181447478</v>
      </c>
      <c r="D55" s="17">
        <f>IF(COUNT(D33,D22)&lt;2,"",IF(D22=0,"",D33/D22))</f>
        <v>3.1347349894214633</v>
      </c>
      <c r="E55" s="17">
        <f>IF(COUNT(E33,E22)&lt;2,"",IF(E22=0,"",E33/E22))</f>
        <v>3.2855066038176135</v>
      </c>
      <c r="F55" s="17">
        <f>IF(COUNT(F33,F22)&lt;2,"",IF(F22=0,"",F33/F22))</f>
        <v>3.2614290980584912</v>
      </c>
      <c r="G55" s="17">
        <f>IF(COUNT(G33,G22)&lt;2,"",IF(G22=0,"",G33/G22))</f>
        <v>3.26311975235349</v>
      </c>
      <c r="H55" s="17">
        <f>IF(COUNT(H33,H22)&lt;2,"",IF(H22=0,"",H33/H22))</f>
        <v>3.239374618738845</v>
      </c>
      <c r="I55" s="17">
        <f>IF(COUNT(I33,I22)&lt;2,"",IF(I22=0,"",I33/I22))</f>
        <v>3.1364163524405853</v>
      </c>
      <c r="J55" s="17">
        <f>IF(COUNT(J33,J22)&lt;2,"",IF(J22=0,"",J33/J22))</f>
        <v/>
      </c>
      <c r="K55" s="17">
        <f>IF(COUNT(K33,K22)&lt;2,"",IF(K22=0,"",K33/K22))</f>
        <v/>
      </c>
      <c r="L55" s="17">
        <f>IF(COUNT(L33,L22)&lt;2,"",IF(L22=0,"",L33/L22))</f>
        <v/>
      </c>
      <c r="M55" s="17">
        <f>IF(COUNT(M33,M22)&lt;2,"",IF(M22=0,"",M33/M22))</f>
        <v/>
      </c>
      <c r="N55" s="17">
        <f>IF(COUNT(N33,N22)&lt;2,"",IF(N22=0,"",N33/N22))</f>
        <v/>
      </c>
      <c r="O55" s="15">
        <f>IF(COUNT(O33,O22)&lt;2,"",IF(O22=0,"",O33/O22))</f>
        <v>3.210422120502016</v>
      </c>
    </row>
    <row r="56" spans="2:15" ht="23" customHeight="1">
      <c r="B56" s="6" t="s">
        <v>29</v>
      </c>
      <c r="C56" s="17">
        <f>IF(COUNT(C34,C23)&lt;2,"",IF(C23=0,"",C34/C23))</f>
        <v>3.2106984779691023</v>
      </c>
      <c r="D56" s="17">
        <f>IF(COUNT(D34,D23)&lt;2,"",IF(D23=0,"",D34/D23))</f>
        <v>3.2631420659262127</v>
      </c>
      <c r="E56" s="17">
        <f>IF(COUNT(E34,E23)&lt;2,"",IF(E23=0,"",E34/E23))</f>
        <v>3.330127564852601</v>
      </c>
      <c r="F56" s="17">
        <f>IF(COUNT(F34,F23)&lt;2,"",IF(F23=0,"",F34/F23))</f>
        <v>3.239878689118233</v>
      </c>
      <c r="G56" s="17">
        <f>IF(COUNT(G34,G23)&lt;2,"",IF(G23=0,"",G34/G23))</f>
        <v>3.2903996068329717</v>
      </c>
      <c r="H56" s="17">
        <f>IF(COUNT(H34,H23)&lt;2,"",IF(H23=0,"",H34/H23))</f>
        <v>3.328285932647121</v>
      </c>
      <c r="I56" s="17">
        <f>IF(COUNT(I34,I23)&lt;2,"",IF(I23=0,"",I34/I23))</f>
        <v>3.1528708666194762</v>
      </c>
      <c r="J56" s="17">
        <f>IF(COUNT(J34,J23)&lt;2,"",IF(J23=0,"",J34/J23))</f>
        <v/>
      </c>
      <c r="K56" s="17">
        <f>IF(COUNT(K34,K23)&lt;2,"",IF(K23=0,"",K34/K23))</f>
        <v/>
      </c>
      <c r="L56" s="17">
        <f>IF(COUNT(L34,L23)&lt;2,"",IF(L23=0,"",L34/L23))</f>
        <v/>
      </c>
      <c r="M56" s="17">
        <f>IF(COUNT(M34,M23)&lt;2,"",IF(M23=0,"",M34/M23))</f>
        <v/>
      </c>
      <c r="N56" s="17">
        <f>IF(COUNT(N34,N23)&lt;2,"",IF(N23=0,"",N34/N23))</f>
        <v/>
      </c>
      <c r="O56" s="15">
        <f>IF(COUNT(O34,O23)&lt;2,"",IF(O23=0,"",O34/O23))</f>
        <v>3.262334502786847</v>
      </c>
    </row>
    <row r="57" spans="2:15" ht="23" customHeight="1">
      <c r="B57" s="6" t="s">
        <v>39</v>
      </c>
      <c r="C57" s="15">
        <f>IF(COUNT(C35,C24)&lt;2,"",IF(C24=0,"",C35/C24))</f>
        <v>3.0908311028120434</v>
      </c>
      <c r="D57" s="15">
        <f>IF(COUNT(D35,D24)&lt;2,"",IF(D24=0,"",D35/D24))</f>
        <v>3.1034599424650966</v>
      </c>
      <c r="E57" s="15">
        <f>IF(COUNT(E35,E24)&lt;2,"",IF(E24=0,"",E35/E24))</f>
        <v>3.178055781970738</v>
      </c>
      <c r="F57" s="15">
        <f>IF(COUNT(F35,F24)&lt;2,"",IF(F24=0,"",F35/F24))</f>
        <v>3.2161240611806385</v>
      </c>
      <c r="G57" s="15">
        <f>IF(COUNT(G35,G24)&lt;2,"",IF(G24=0,"",G35/G24))</f>
        <v>3.2061863741069816</v>
      </c>
      <c r="H57" s="15">
        <f>IF(COUNT(H35,H24)&lt;2,"",IF(H24=0,"",H35/H24))</f>
        <v>3.2256653527180648</v>
      </c>
      <c r="I57" s="15">
        <f>IF(COUNT(I35,I24)&lt;2,"",IF(I24=0,"",I35/I24))</f>
        <v>3.1326285875781634</v>
      </c>
      <c r="J57" s="15">
        <f>IF(COUNT(J35,J24)&lt;2,"",IF(J24=0,"",J35/J24))</f>
        <v/>
      </c>
      <c r="K57" s="15">
        <f>IF(COUNT(K35,K24)&lt;2,"",IF(K24=0,"",K35/K24))</f>
        <v/>
      </c>
      <c r="L57" s="15">
        <f>IF(COUNT(L35,L24)&lt;2,"",IF(L24=0,"",L35/L24))</f>
        <v/>
      </c>
      <c r="M57" s="15">
        <f>IF(COUNT(M35,M24)&lt;2,"",IF(M24=0,"",M35/M24))</f>
        <v/>
      </c>
      <c r="N57" s="15">
        <f>IF(COUNT(N35,N24)&lt;2,"",IF(N24=0,"",N35/N24))</f>
        <v/>
      </c>
      <c r="O57" s="15">
        <f>IF(COUNT(O35,O24)&lt;2,"",IF(O24=0,"",O35/O24))</f>
        <v>3.1656138779132257</v>
      </c>
    </row>
    <row r="60" spans="2:15" ht="23" customHeight="1">
      <c r="B60" s="3" t="s">
        <v>48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2:15" ht="23" customHeight="1">
      <c r="B61" s="3" t="s">
        <v>49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</sheetData>
  <sheetProtection sheet="1" objects="1" scenarios="1"/>
  <mergeCells count="11">
    <mergeCell ref="B1:O1"/>
    <mergeCell ref="B2:O2"/>
    <mergeCell ref="B3:O3"/>
    <mergeCell ref="B4:O4"/>
    <mergeCell ref="B6:O6"/>
    <mergeCell ref="B17:O17"/>
    <mergeCell ref="B28:O28"/>
    <mergeCell ref="B39:O39"/>
    <mergeCell ref="B50:O50"/>
    <mergeCell ref="B60:O60"/>
    <mergeCell ref="B61:O61"/>
  </mergeCells>
  <pageMargins left="0.25" right="0.25" top="0.35" bottom="0.35" header="0.3" footer="0.3"/>
  <pageSetup paperSize="9" fitToHeight="0" orientation="landscape"/>
  <headerFooter>
    <oddFooter>&amp;L計画管理用　&amp;C&amp;P / &amp;N&amp;R作成日：2026/10/31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D7D31"/>
    <pageSetUpPr fitToPage="1"/>
  </sheetPr>
  <dimension ref="A1:O36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23" customHeight="1"/>
  <cols>
    <col min="1" max="1" width="2.7109375" customWidth="1"/>
    <col min="2" max="2" width="29.7109375" customWidth="1"/>
    <col min="3" max="14" width="12.28515625" customWidth="1"/>
    <col min="15" max="15" width="15.7109375" customWidth="1"/>
  </cols>
  <sheetData>
    <row r="1" spans="2:15" ht="34" customHeight="1"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23" customHeight="1">
      <c r="B2" s="2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23" customHeight="1">
      <c r="B3" s="3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23" customHeight="1">
      <c r="B4" s="3" t="s">
        <v>51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 ht="23" customHeight="1">
      <c r="B6" s="4" t="s">
        <v>52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ht="23" customHeight="1">
      <c r="B7" s="5" t="s">
        <v>11</v>
      </c>
      <c r="C7" s="5" t="s">
        <v>53</v>
      </c>
      <c r="D7" s="5" t="s">
        <v>54</v>
      </c>
      <c r="E7" s="5" t="s">
        <v>55</v>
      </c>
    </row>
    <row r="8" spans="2:15" ht="23" customHeight="1">
      <c r="B8" s="6" t="s">
        <v>25</v>
      </c>
      <c r="C8" s="9">
        <f>COUNT('計画入力'!C8:N8,'計画入力'!C41:N41,'計画入力'!C52:N52)</f>
        <v>0</v>
      </c>
      <c r="D8" s="9">
        <f>36-C8</f>
        <v>36</v>
      </c>
      <c r="E8" s="18" t="str">
        <f>IF(D8=0,"入力完了","未入力あり")</f>
        <v>未入力あり</v>
      </c>
    </row>
    <row r="9" spans="2:15" ht="23" customHeight="1">
      <c r="B9" s="6" t="s">
        <v>26</v>
      </c>
      <c r="C9" s="9">
        <f>COUNT('計画入力'!C9:N9,'計画入力'!C42:N42,'計画入力'!C53:N53)</f>
        <v>0</v>
      </c>
      <c r="D9" s="9">
        <f>36-C9</f>
        <v>36</v>
      </c>
      <c r="E9" s="18" t="str">
        <f>IF(D9=0,"入力完了","未入力あり")</f>
        <v>未入力あり</v>
      </c>
    </row>
    <row r="10" spans="2:15" ht="23" customHeight="1">
      <c r="B10" s="6" t="s">
        <v>27</v>
      </c>
      <c r="C10" s="9">
        <f>COUNT('計画入力'!C10:N10,'計画入力'!C43:N43,'計画入力'!C54:N54)</f>
        <v>0</v>
      </c>
      <c r="D10" s="9">
        <f>36-C10</f>
        <v>36</v>
      </c>
      <c r="E10" s="18" t="str">
        <f>IF(D10=0,"入力完了","未入力あり")</f>
        <v>未入力あり</v>
      </c>
    </row>
    <row r="11" spans="2:15" ht="23" customHeight="1">
      <c r="B11" s="6" t="s">
        <v>28</v>
      </c>
      <c r="C11" s="9">
        <f>COUNT('計画入力'!C11:N11,'計画入力'!C44:N44,'計画入力'!C55:N55)</f>
        <v>0</v>
      </c>
      <c r="D11" s="9">
        <f>36-C11</f>
        <v>36</v>
      </c>
      <c r="E11" s="18" t="str">
        <f>IF(D11=0,"入力完了","未入力あり")</f>
        <v>未入力あり</v>
      </c>
    </row>
    <row r="12" spans="2:15" ht="23" customHeight="1">
      <c r="B12" s="6" t="s">
        <v>29</v>
      </c>
      <c r="C12" s="9">
        <f>COUNT('計画入力'!C12:N12,'計画入力'!C45:N45,'計画入力'!C56:N56)</f>
        <v>0</v>
      </c>
      <c r="D12" s="9">
        <f>36-C12</f>
        <v>36</v>
      </c>
      <c r="E12" s="18" t="str">
        <f>IF(D12=0,"入力完了","未入力あり")</f>
        <v>未入力あり</v>
      </c>
    </row>
    <row r="13" spans="2:15" ht="23" customHeight="1">
      <c r="B13" s="6" t="s">
        <v>56</v>
      </c>
      <c r="C13" s="8">
        <f>SUM(C8:C12)</f>
        <v>0</v>
      </c>
      <c r="D13" s="8">
        <f>SUM(D8:D12)</f>
        <v>180</v>
      </c>
      <c r="E13" s="18" t="str">
        <f>IF(D13=0,"入力完了","未入力あり")</f>
        <v>未入力あり</v>
      </c>
    </row>
    <row r="16" spans="2:15" ht="23" customHeight="1">
      <c r="B16" s="4" t="s">
        <v>57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ht="23" customHeight="1">
      <c r="B17" s="5" t="s">
        <v>11</v>
      </c>
      <c r="C17" s="5" t="s">
        <v>58</v>
      </c>
      <c r="D17" s="5" t="s">
        <v>59</v>
      </c>
      <c r="E17" s="5" t="s">
        <v>60</v>
      </c>
      <c r="F17" s="5" t="s">
        <v>61</v>
      </c>
      <c r="G17" s="5" t="s">
        <v>62</v>
      </c>
    </row>
    <row r="18" spans="2:15" ht="23" customHeight="1">
      <c r="B18" s="6" t="s">
        <v>25</v>
      </c>
      <c r="C18" s="9">
        <f>IF(ISNUMBER('計画入力'!O8),'計画入力'!O8,"")</f>
        <v/>
      </c>
      <c r="D18" s="9">
        <f>IF(ISNUMBER('計画入力'!O19),'計画入力'!O19,"")</f>
        <v/>
      </c>
      <c r="E18" s="10">
        <f>IF(ISNUMBER('計画入力'!O30),'計画入力'!O30,"")</f>
        <v/>
      </c>
      <c r="F18" s="16">
        <f>IF(ISNUMBER('計画入力'!O41),'計画入力'!O41,"")</f>
        <v/>
      </c>
      <c r="G18" s="17">
        <f>IF(ISNUMBER('計画入力'!O52),'計画入力'!O52,"")</f>
        <v/>
      </c>
    </row>
    <row r="19" spans="2:15" ht="23" customHeight="1">
      <c r="B19" s="6" t="s">
        <v>26</v>
      </c>
      <c r="C19" s="9">
        <f>IF(ISNUMBER('計画入力'!O9),'計画入力'!O9,"")</f>
        <v/>
      </c>
      <c r="D19" s="9">
        <f>IF(ISNUMBER('計画入力'!O20),'計画入力'!O20,"")</f>
        <v/>
      </c>
      <c r="E19" s="10">
        <f>IF(ISNUMBER('計画入力'!O31),'計画入力'!O31,"")</f>
        <v/>
      </c>
      <c r="F19" s="16">
        <f>IF(ISNUMBER('計画入力'!O42),'計画入力'!O42,"")</f>
        <v/>
      </c>
      <c r="G19" s="17">
        <f>IF(ISNUMBER('計画入力'!O53),'計画入力'!O53,"")</f>
        <v/>
      </c>
    </row>
    <row r="20" spans="2:15" ht="23" customHeight="1">
      <c r="B20" s="6" t="s">
        <v>27</v>
      </c>
      <c r="C20" s="9">
        <f>IF(ISNUMBER('計画入力'!O10),'計画入力'!O10,"")</f>
        <v/>
      </c>
      <c r="D20" s="9">
        <f>IF(ISNUMBER('計画入力'!O21),'計画入力'!O21,"")</f>
        <v/>
      </c>
      <c r="E20" s="10">
        <f>IF(ISNUMBER('計画入力'!O32),'計画入力'!O32,"")</f>
        <v/>
      </c>
      <c r="F20" s="16">
        <f>IF(ISNUMBER('計画入力'!O43),'計画入力'!O43,"")</f>
        <v/>
      </c>
      <c r="G20" s="17">
        <f>IF(ISNUMBER('計画入力'!O54),'計画入力'!O54,"")</f>
        <v/>
      </c>
    </row>
    <row r="21" spans="2:15" ht="23" customHeight="1">
      <c r="B21" s="6" t="s">
        <v>28</v>
      </c>
      <c r="C21" s="9">
        <f>IF(ISNUMBER('計画入力'!O11),'計画入力'!O11,"")</f>
        <v/>
      </c>
      <c r="D21" s="9">
        <f>IF(ISNUMBER('計画入力'!O22),'計画入力'!O22,"")</f>
        <v/>
      </c>
      <c r="E21" s="10">
        <f>IF(ISNUMBER('計画入力'!O33),'計画入力'!O33,"")</f>
        <v/>
      </c>
      <c r="F21" s="16">
        <f>IF(ISNUMBER('計画入力'!O44),'計画入力'!O44,"")</f>
        <v/>
      </c>
      <c r="G21" s="17">
        <f>IF(ISNUMBER('計画入力'!O55),'計画入力'!O55,"")</f>
        <v/>
      </c>
    </row>
    <row r="22" spans="2:15" ht="23" customHeight="1">
      <c r="B22" s="6" t="s">
        <v>29</v>
      </c>
      <c r="C22" s="9">
        <f>IF(ISNUMBER('計画入力'!O12),'計画入力'!O12,"")</f>
        <v/>
      </c>
      <c r="D22" s="9">
        <f>IF(ISNUMBER('計画入力'!O23),'計画入力'!O23,"")</f>
        <v/>
      </c>
      <c r="E22" s="10">
        <f>IF(ISNUMBER('計画入力'!O34),'計画入力'!O34,"")</f>
        <v/>
      </c>
      <c r="F22" s="16">
        <f>IF(ISNUMBER('計画入力'!O45),'計画入力'!O45,"")</f>
        <v/>
      </c>
      <c r="G22" s="17">
        <f>IF(ISNUMBER('計画入力'!O56),'計画入力'!O56,"")</f>
        <v/>
      </c>
    </row>
    <row r="25" spans="2:15" ht="23" customHeight="1">
      <c r="B25" s="4" t="s">
        <v>63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ht="38" customHeight="1">
      <c r="B26" s="5" t="s">
        <v>11</v>
      </c>
      <c r="C26" s="5" t="s">
        <v>64</v>
      </c>
      <c r="D26" s="5" t="s">
        <v>65</v>
      </c>
      <c r="E26" s="5" t="s">
        <v>66</v>
      </c>
      <c r="F26" s="5" t="s">
        <v>67</v>
      </c>
      <c r="G26" s="5" t="s">
        <v>68</v>
      </c>
      <c r="H26" s="5" t="s">
        <v>69</v>
      </c>
      <c r="I26" s="5" t="s">
        <v>66</v>
      </c>
      <c r="J26" s="5" t="s">
        <v>67</v>
      </c>
      <c r="K26" s="5" t="s">
        <v>70</v>
      </c>
      <c r="L26" s="5" t="s">
        <v>71</v>
      </c>
      <c r="M26" s="5" t="s">
        <v>72</v>
      </c>
      <c r="N26" s="5" t="s">
        <v>67</v>
      </c>
      <c r="O26" s="5" t="s">
        <v>73</v>
      </c>
    </row>
    <row r="27" spans="2:15" ht="23" customHeight="1">
      <c r="B27" s="6" t="s">
        <v>25</v>
      </c>
      <c r="C27" s="9">
        <f>IF(COUNT('計画入力'!C8:I8)&lt;7,"",SUM('計画入力'!C8:I8))</f>
        <v/>
      </c>
      <c r="D27" s="9">
        <f>SUM('前年実績'!C8:I8)</f>
        <v>404168.0</v>
      </c>
      <c r="E27" s="9">
        <f>IF(COUNT(C27,D27)&lt;2,"",C27-D27)</f>
        <v/>
      </c>
      <c r="F27" s="16">
        <f>IF(COUNT(C27,D27)&lt;2,"",IF(D27=0,"",E27/D27))</f>
        <v/>
      </c>
      <c r="G27" s="9">
        <f>IF(COUNT('計画入力'!C19:I19)&lt;7,"",SUM('計画入力'!C19:I19))</f>
        <v/>
      </c>
      <c r="H27" s="9">
        <f>SUM('前年実績'!C19:I19)</f>
        <v>390662.0</v>
      </c>
      <c r="I27" s="9">
        <f>IF(COUNT(G27,H27)&lt;2,"",G27-H27)</f>
        <v/>
      </c>
      <c r="J27" s="16">
        <f>IF(COUNT(G27,H27)&lt;2,"",IF(H27=0,"",I27/H27))</f>
        <v/>
      </c>
      <c r="K27" s="10">
        <f>IF(COUNT('計画入力'!C30:I30)&lt;7,"",SUM('計画入力'!C30:I30))</f>
        <v/>
      </c>
      <c r="L27" s="10">
        <f>SUM('前年実績'!C30:I30)</f>
        <v>1410363.2</v>
      </c>
      <c r="M27" s="10">
        <f>IF(COUNT(K27,L27)&lt;2,"",K27-L27)</f>
        <v/>
      </c>
      <c r="N27" s="16">
        <f>IF(COUNT(K27,L27)&lt;2,"",IF(L27=0,"",M27/L27))</f>
        <v/>
      </c>
      <c r="O27" s="18" t="str">
        <f>IF(COUNT(C27,G27,K27)=3,"比較可能","計画入力待ち")</f>
        <v>計画入力待ち</v>
      </c>
    </row>
    <row r="28" spans="2:15" ht="23" customHeight="1">
      <c r="B28" s="6" t="s">
        <v>26</v>
      </c>
      <c r="C28" s="9">
        <f>IF(COUNT('計画入力'!C9:I9)&lt;7,"",SUM('計画入力'!C9:I9))</f>
        <v/>
      </c>
      <c r="D28" s="9">
        <f>SUM('前年実績'!C9:I9)</f>
        <v>530400.0</v>
      </c>
      <c r="E28" s="9">
        <f>IF(COUNT(C28,D28)&lt;2,"",C28-D28)</f>
        <v/>
      </c>
      <c r="F28" s="16">
        <f>IF(COUNT(C28,D28)&lt;2,"",IF(D28=0,"",E28/D28))</f>
        <v/>
      </c>
      <c r="G28" s="9">
        <f>IF(COUNT('計画入力'!C20:I20)&lt;7,"",SUM('計画入力'!C20:I20))</f>
        <v/>
      </c>
      <c r="H28" s="9">
        <f>SUM('前年実績'!C20:I20)</f>
        <v>500272.0</v>
      </c>
      <c r="I28" s="9">
        <f>IF(COUNT(G28,H28)&lt;2,"",G28-H28)</f>
        <v/>
      </c>
      <c r="J28" s="16">
        <f>IF(COUNT(G28,H28)&lt;2,"",IF(H28=0,"",I28/H28))</f>
        <v/>
      </c>
      <c r="K28" s="10">
        <f>IF(COUNT('計画入力'!C31:I31)&lt;7,"",SUM('計画入力'!C31:I31))</f>
        <v/>
      </c>
      <c r="L28" s="10">
        <f>SUM('前年実績'!C31:I31)</f>
        <v>1645211.4</v>
      </c>
      <c r="M28" s="10">
        <f>IF(COUNT(K28,L28)&lt;2,"",K28-L28)</f>
        <v/>
      </c>
      <c r="N28" s="16">
        <f>IF(COUNT(K28,L28)&lt;2,"",IF(L28=0,"",M28/L28))</f>
        <v/>
      </c>
      <c r="O28" s="18" t="str">
        <f>IF(COUNT(C28,G28,K28)=3,"比較可能","計画入力待ち")</f>
        <v>計画入力待ち</v>
      </c>
    </row>
    <row r="29" spans="2:15" ht="23" customHeight="1">
      <c r="B29" s="6" t="s">
        <v>27</v>
      </c>
      <c r="C29" s="9">
        <f>IF(COUNT('計画入力'!C10:I10)&lt;7,"",SUM('計画入力'!C10:I10))</f>
        <v/>
      </c>
      <c r="D29" s="9">
        <f>SUM('前年実績'!C10:I10)</f>
        <v>2328300.0</v>
      </c>
      <c r="E29" s="9">
        <f>IF(COUNT(C29,D29)&lt;2,"",C29-D29)</f>
        <v/>
      </c>
      <c r="F29" s="16">
        <f>IF(COUNT(C29,D29)&lt;2,"",IF(D29=0,"",E29/D29))</f>
        <v/>
      </c>
      <c r="G29" s="9">
        <f>IF(COUNT('計画入力'!C21:I21)&lt;7,"",SUM('計画入力'!C21:I21))</f>
        <v/>
      </c>
      <c r="H29" s="9">
        <f>SUM('前年実績'!C21:I21)</f>
        <v>2273151.0</v>
      </c>
      <c r="I29" s="9">
        <f>IF(COUNT(G29,H29)&lt;2,"",G29-H29)</f>
        <v/>
      </c>
      <c r="J29" s="16">
        <f>IF(COUNT(G29,H29)&lt;2,"",IF(H29=0,"",I29/H29))</f>
        <v/>
      </c>
      <c r="K29" s="10">
        <f>IF(COUNT('計画入力'!C32:I32)&lt;7,"",SUM('計画入力'!C32:I32))</f>
        <v/>
      </c>
      <c r="L29" s="10">
        <f>SUM('前年実績'!C32:I32)</f>
        <v>6847280.1</v>
      </c>
      <c r="M29" s="10">
        <f>IF(COUNT(K29,L29)&lt;2,"",K29-L29)</f>
        <v/>
      </c>
      <c r="N29" s="16">
        <f>IF(COUNT(K29,L29)&lt;2,"",IF(L29=0,"",M29/L29))</f>
        <v/>
      </c>
      <c r="O29" s="18" t="str">
        <f>IF(COUNT(C29,G29,K29)=3,"比較可能","計画入力待ち")</f>
        <v>計画入力待ち</v>
      </c>
    </row>
    <row r="30" spans="2:15" ht="23" customHeight="1">
      <c r="B30" s="6" t="s">
        <v>28</v>
      </c>
      <c r="C30" s="9">
        <f>IF(COUNT('計画入力'!C11:I11)&lt;7,"",SUM('計画入力'!C11:I11))</f>
        <v/>
      </c>
      <c r="D30" s="9">
        <f>SUM('前年実績'!C11:I11)</f>
        <v>1612600.0</v>
      </c>
      <c r="E30" s="9">
        <f>IF(COUNT(C30,D30)&lt;2,"",C30-D30)</f>
        <v/>
      </c>
      <c r="F30" s="16">
        <f>IF(COUNT(C30,D30)&lt;2,"",IF(D30=0,"",E30/D30))</f>
        <v/>
      </c>
      <c r="G30" s="9">
        <f>IF(COUNT('計画入力'!C22:I22)&lt;7,"",SUM('計画入力'!C22:I22))</f>
        <v/>
      </c>
      <c r="H30" s="9">
        <f>SUM('前年実績'!C22:I22)</f>
        <v>1573816.0</v>
      </c>
      <c r="I30" s="9">
        <f>IF(COUNT(G30,H30)&lt;2,"",G30-H30)</f>
        <v/>
      </c>
      <c r="J30" s="16">
        <f>IF(COUNT(G30,H30)&lt;2,"",IF(H30=0,"",I30/H30))</f>
        <v/>
      </c>
      <c r="K30" s="10">
        <f>IF(COUNT('計画入力'!C33:I33)&lt;7,"",SUM('計画入力'!C33:I33))</f>
        <v/>
      </c>
      <c r="L30" s="10">
        <f>SUM('前年実績'!C33:I33)</f>
        <v>5052613.7</v>
      </c>
      <c r="M30" s="10">
        <f>IF(COUNT(K30,L30)&lt;2,"",K30-L30)</f>
        <v/>
      </c>
      <c r="N30" s="16">
        <f>IF(COUNT(K30,L30)&lt;2,"",IF(L30=0,"",M30/L30))</f>
        <v/>
      </c>
      <c r="O30" s="18" t="str">
        <f>IF(COUNT(C30,G30,K30)=3,"比較可能","計画入力待ち")</f>
        <v>計画入力待ち</v>
      </c>
    </row>
    <row r="31" spans="2:15" ht="23" customHeight="1">
      <c r="B31" s="6" t="s">
        <v>29</v>
      </c>
      <c r="C31" s="9">
        <f>IF(COUNT('計画入力'!C12:I12)&lt;7,"",SUM('計画入力'!C12:I12))</f>
        <v/>
      </c>
      <c r="D31" s="9">
        <f>SUM('前年実績'!C12:I12)</f>
        <v>453815.0</v>
      </c>
      <c r="E31" s="9">
        <f>IF(COUNT(C31,D31)&lt;2,"",C31-D31)</f>
        <v/>
      </c>
      <c r="F31" s="16">
        <f>IF(COUNT(C31,D31)&lt;2,"",IF(D31=0,"",E31/D31))</f>
        <v/>
      </c>
      <c r="G31" s="9">
        <f>IF(COUNT('計画入力'!C23:I23)&lt;7,"",SUM('計画入力'!C23:I23))</f>
        <v/>
      </c>
      <c r="H31" s="9">
        <f>SUM('前年実績'!C23:I23)</f>
        <v>443512.0</v>
      </c>
      <c r="I31" s="9">
        <f>IF(COUNT(G31,H31)&lt;2,"",G31-H31)</f>
        <v/>
      </c>
      <c r="J31" s="16">
        <f>IF(COUNT(G31,H31)&lt;2,"",IF(H31=0,"",I31/H31))</f>
        <v/>
      </c>
      <c r="K31" s="10">
        <f>IF(COUNT('計画入力'!C34:I34)&lt;7,"",SUM('計画入力'!C34:I34))</f>
        <v/>
      </c>
      <c r="L31" s="10">
        <f>SUM('前年実績'!C34:I34)</f>
        <v>1446884.5</v>
      </c>
      <c r="M31" s="10">
        <f>IF(COUNT(K31,L31)&lt;2,"",K31-L31)</f>
        <v/>
      </c>
      <c r="N31" s="16">
        <f>IF(COUNT(K31,L31)&lt;2,"",IF(L31=0,"",M31/L31))</f>
        <v/>
      </c>
      <c r="O31" s="18" t="str">
        <f>IF(COUNT(C31,G31,K31)=3,"比較可能","計画入力待ち")</f>
        <v>計画入力待ち</v>
      </c>
    </row>
    <row r="34" spans="2:15" ht="23" customHeight="1">
      <c r="B34" s="3" t="s">
        <v>74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2:15" ht="23" customHeight="1">
      <c r="B35" s="3" t="s">
        <v>75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2:15" ht="23" customHeight="1">
      <c r="B36" s="3" t="s">
        <v>76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</sheetData>
  <sheetProtection sheet="1" objects="1" scenarios="1"/>
  <mergeCells count="10">
    <mergeCell ref="B1:O1"/>
    <mergeCell ref="B2:O2"/>
    <mergeCell ref="B3:O3"/>
    <mergeCell ref="B4:O4"/>
    <mergeCell ref="B6:O6"/>
    <mergeCell ref="B16:O16"/>
    <mergeCell ref="B25:O25"/>
    <mergeCell ref="B34:O34"/>
    <mergeCell ref="B35:O35"/>
    <mergeCell ref="B36:O36"/>
  </mergeCells>
  <conditionalFormatting sqref="E8:E13">
    <cfRule type="containsText" dxfId="0" priority="1" operator="containsText" text="未入力">
      <formula>NOT(ISERROR(SEARCH("未入力",E8)))</formula>
    </cfRule>
    <cfRule type="containsText" dxfId="1" priority="2" operator="containsText" text="入力完了">
      <formula>NOT(ISERROR(SEARCH("入力完了",E8)))</formula>
    </cfRule>
  </conditionalFormatting>
  <pageMargins left="0.25" right="0.25" top="0.35" bottom="0.35" header="0.3" footer="0.3"/>
  <pageSetup paperSize="9" fitToHeight="0" orientation="landscape"/>
  <headerFooter>
    <oddFooter>&amp;L計画管理用　&amp;C&amp;P / &amp;N&amp;R作成日：2026/10/31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計画入力</vt:lpstr>
      <vt:lpstr>前年実績</vt:lpstr>
      <vt:lpstr>計画確認</vt:lpstr>
      <vt:lpstr>前年実績!Print_Area</vt:lpstr>
      <vt:lpstr>計画入力!Print_Area</vt:lpstr>
      <vt:lpstr>計画確認!Print_Area</vt:lpstr>
      <vt:lpstr>前年実績!Print_Titles</vt:lpstr>
      <vt:lpstr>計画入力!Print_Titles</vt:lpstr>
      <vt:lpstr>計画確認!Print_Titles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2027年 計画入力</dc:title>
  <dc:subject>品種別の計画入力・前年実績・計画確認</dc:subject>
  <dc:creator/>
  <dc:description>マクロなし。計画値は未入力。前年実績は2026年1～7月。</dc:description>
  <cp:lastModifiedBy/>
  <dcterms:created xsi:type="dcterms:W3CDTF">2026-10-31T09:27:44Z</dcterms:created>
  <dcterms:modified xsi:type="dcterms:W3CDTF">2026-10-31T09:27:44Z</dcterms:modified>
</cp:coreProperties>
</file>